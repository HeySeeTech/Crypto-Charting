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366055c2e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489025f0a0654f83"/>
    <x:sheet xmlns:r="http://schemas.openxmlformats.org/officeDocument/2006/relationships" name="持仓录入" sheetId="2" r:id="R77fa4b105e8c4c02"/>
    <x:sheet xmlns:r="http://schemas.openxmlformats.org/officeDocument/2006/relationships" name="行情与资金流" sheetId="3" r:id="Rb87b66e2c1464656"/>
    <x:sheet xmlns:r="http://schemas.openxmlformats.org/officeDocument/2006/relationships" name="链上与动态" sheetId="4" r:id="R60718a4764f2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11" fontId="7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10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10" fillId="5" borderId="4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3087f1aaa4a46" /><Relationship Type="http://schemas.openxmlformats.org/officeDocument/2006/relationships/theme" Target="/xl/theme/theme1.xml" Id="Re5ede81084164808" /><Relationship Type="http://schemas.openxmlformats.org/officeDocument/2006/relationships/sharedStrings" Target="/xl/sharedStrings.xml" Id="Rf7d321a3a1714128" /><Relationship Type="http://schemas.openxmlformats.org/officeDocument/2006/relationships/worksheet" Target="/xl/worksheets/sheet1.xml" Id="R489025f0a0654f83" /><Relationship Type="http://schemas.openxmlformats.org/officeDocument/2006/relationships/worksheet" Target="/xl/worksheets/sheet2.xml" Id="R77fa4b105e8c4c02" /><Relationship Type="http://schemas.openxmlformats.org/officeDocument/2006/relationships/worksheet" Target="/xl/worksheets/sheet3.xml" Id="Rb87b66e2c1464656" /><Relationship Type="http://schemas.openxmlformats.org/officeDocument/2006/relationships/worksheet" Target="/xl/worksheets/sheet4.xml" Id="R60718a4764f24c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fc6d0cb82b44e2" /><Relationship Type="http://schemas.openxmlformats.org/officeDocument/2006/relationships/chart" Target="/xl/drawings/charts/chart2.xml" Id="Rb370e7d9b17840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c6d0cb82b44e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70e7d9b178407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c407831f934f02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91" t="str">
        <x:v>  CRYPTO CHARTING  /  DAILY INTELLIGENCE</x:v>
      </x:c>
      <x:c r="B2" s="91"/>
      <x:c r="C2" s="91"/>
      <x:c r="D2" s="91"/>
      <x:c r="E2" s="91"/>
      <x:c r="F2" s="91"/>
      <x:c r="G2" s="91"/>
      <x:c r="H2" s="91"/>
      <x:c r="I2" s="91"/>
      <x:c r="J2" s="92" t="str">
        <x:v>2026.10.20</x:v>
      </x:c>
      <x:c r="K2" s="92"/>
      <x:c r="L2" s="2"/>
      <x:c r="M2" s="2"/>
      <x:c r="N2" s="2"/>
      <x:c r="O2" s="2"/>
      <x:c r="P2" s="2"/>
      <x:c r="Q2" s="2"/>
      <x:c r="R2" s="2"/>
    </x:row>
    <x:row r="3" ht="27" customHeight="1">
      <x:c r="A3" s="93" t="str">
        <x:v>  XRP 数据总览</x:v>
      </x:c>
      <x:c r="B3" s="93"/>
      <x:c r="C3" s="93"/>
      <x:c r="D3" s="93"/>
      <x:c r="E3" s="93"/>
      <x:c r="F3" s="93"/>
      <x:c r="G3" s="93"/>
      <x:c r="H3" s="93"/>
      <x:c r="I3" s="93"/>
      <x:c r="J3" s="93"/>
      <x:c r="K3" s="93"/>
      <x:c r="L3" s="2"/>
      <x:c r="M3" s="2"/>
      <x:c r="N3" s="2"/>
      <x:c r="O3" s="2"/>
      <x:c r="P3" s="2"/>
      <x:c r="Q3" s="2"/>
      <x:c r="R3" s="2"/>
    </x:row>
    <x:row r="4" ht="27" customHeight="1">
      <x:c r="A4" s="93"/>
      <x:c r="B4" s="93"/>
      <x:c r="C4" s="93"/>
      <x:c r="D4" s="93"/>
      <x:c r="E4" s="93"/>
      <x:c r="F4" s="93"/>
      <x:c r="G4" s="93"/>
      <x:c r="H4" s="93"/>
      <x:c r="I4" s="93"/>
      <x:c r="J4" s="93"/>
      <x:c r="K4" s="93"/>
      <x:c r="L4" s="2"/>
      <x:c r="M4" s="2"/>
      <x:c r="N4" s="2"/>
      <x:c r="O4" s="2"/>
      <x:c r="P4" s="2"/>
      <x:c r="Q4" s="2"/>
      <x:c r="R4" s="2"/>
    </x:row>
    <x:row r="5" ht="27" customHeight="1">
      <x:c r="A5" s="94" t="str">
        <x:v>  行情观察 10:05 北京时间  ·  ETF 流量截至美东 待披露</x:v>
      </x:c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  <x:c r="P5" s="94"/>
      <x:c r="Q5" s="94"/>
      <x:c r="R5" s="94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5" t="str">
        <x:v>  ETF 原生币持仓：逐只可查 4/5；2026-10-19 同日样本 1/5；异日数不入小计。</x:v>
      </x:c>
      <x:c r="B7" s="95"/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</x:row>
    <x:row r="8" ht="23" customHeight="1">
      <x:c r="A8" s="131" t="str">
        <x:v>现价</x:v>
      </x:c>
      <x:c r="B8" s="132"/>
      <x:c r="C8" s="133"/>
      <x:c r="D8" s="179" t="str">
        <x:v>24h 涨跌</x:v>
      </x:c>
      <x:c r="E8" s="180"/>
      <x:c r="F8" s="181"/>
      <x:c r="G8" s="179" t="str">
        <x:v>7d 涨跌</x:v>
      </x:c>
      <x:c r="H8" s="180"/>
      <x:c r="I8" s="181"/>
      <x:c r="J8" s="179" t="str">
        <x:v>24h 成交额</x:v>
      </x:c>
      <x:c r="K8" s="180"/>
      <x:c r="L8" s="181"/>
      <x:c r="M8" s="179" t="str">
        <x:v>流通市值</x:v>
      </x:c>
      <x:c r="N8" s="180"/>
      <x:c r="O8" s="181"/>
      <x:c r="P8" s="179" t="str">
        <x:v>ETF 日净流量</x:v>
      </x:c>
      <x:c r="Q8" s="180"/>
      <x:c r="R8" s="181"/>
    </x:row>
    <x:row r="9" ht="23" customHeight="1">
      <x:c r="A9" s="134"/>
      <x:c r="B9" s="135"/>
      <x:c r="C9" s="136"/>
      <x:c r="D9" s="182"/>
      <x:c r="E9" s="183"/>
      <x:c r="F9" s="184"/>
      <x:c r="G9" s="182"/>
      <x:c r="H9" s="183"/>
      <x:c r="I9" s="184"/>
      <x:c r="J9" s="182"/>
      <x:c r="K9" s="183"/>
      <x:c r="L9" s="184"/>
      <x:c r="M9" s="182"/>
      <x:c r="N9" s="183"/>
      <x:c r="O9" s="184"/>
      <x:c r="P9" s="182"/>
      <x:c r="Q9" s="183"/>
      <x:c r="R9" s="184"/>
    </x:row>
    <x:row r="10" ht="23" customHeight="1">
      <x:c r="A10" s="137" t="n">
        <x:f>'行情与资金流'!B4</x:f>
        <x:v>1.3</x:v>
      </x:c>
      <x:c r="B10" s="138"/>
      <x:c r="C10" s="139"/>
      <x:c r="D10" s="185" t="n">
        <x:f>'行情与资金流'!B5</x:f>
        <x:v>-0.010365800000000001</x:v>
      </x:c>
      <x:c r="E10" s="186"/>
      <x:c r="F10" s="187"/>
      <x:c r="G10" s="185" t="n">
        <x:f>'行情与资金流'!B8</x:f>
        <x:v>-0.015310999999999998</x:v>
      </x:c>
      <x:c r="H10" s="186"/>
      <x:c r="I10" s="187"/>
      <x:c r="J10" s="200" t="n">
        <x:f>'行情与资金流'!B6</x:f>
        <x:v>1301429787</x:v>
      </x:c>
      <x:c r="K10" s="201"/>
      <x:c r="L10" s="202"/>
      <x:c r="M10" s="200" t="n">
        <x:f>'行情与资金流'!B7</x:f>
        <x:v>81938029297</x:v>
      </x:c>
      <x:c r="N10" s="201"/>
      <x:c r="O10" s="202"/>
      <x:c r="P10" s="212" t="str">
        <x:v>待披露</x:v>
      </x:c>
      <x:c r="Q10" s="213"/>
      <x:c r="R10" s="214"/>
    </x:row>
    <x:row r="11" ht="23" customHeight="1">
      <x:c r="A11" s="137"/>
      <x:c r="B11" s="138"/>
      <x:c r="C11" s="139"/>
      <x:c r="D11" s="185"/>
      <x:c r="E11" s="186"/>
      <x:c r="F11" s="187"/>
      <x:c r="G11" s="185"/>
      <x:c r="H11" s="186"/>
      <x:c r="I11" s="187"/>
      <x:c r="J11" s="200"/>
      <x:c r="K11" s="201"/>
      <x:c r="L11" s="202"/>
      <x:c r="M11" s="200"/>
      <x:c r="N11" s="201"/>
      <x:c r="O11" s="202"/>
      <x:c r="P11" s="212"/>
      <x:c r="Q11" s="213"/>
      <x:c r="R11" s="214"/>
    </x:row>
    <x:row r="12" ht="23" customHeight="1">
      <x:c r="A12" s="137"/>
      <x:c r="B12" s="138"/>
      <x:c r="C12" s="139"/>
      <x:c r="D12" s="185"/>
      <x:c r="E12" s="186"/>
      <x:c r="F12" s="187"/>
      <x:c r="G12" s="185"/>
      <x:c r="H12" s="186"/>
      <x:c r="I12" s="187"/>
      <x:c r="J12" s="200"/>
      <x:c r="K12" s="201"/>
      <x:c r="L12" s="202"/>
      <x:c r="M12" s="200"/>
      <x:c r="N12" s="201"/>
      <x:c r="O12" s="202"/>
      <x:c r="P12" s="212"/>
      <x:c r="Q12" s="213"/>
      <x:c r="R12" s="214"/>
    </x:row>
    <x:row r="13" ht="23" customHeight="1">
      <x:c r="A13" s="140" t="str">
        <x:v>USD / XRP</x:v>
      </x:c>
      <x:c r="B13" s="141"/>
      <x:c r="C13" s="142"/>
      <x:c r="D13" s="188" t="str">
        <x:v>滚动 24 小时</x:v>
      </x:c>
      <x:c r="E13" s="189"/>
      <x:c r="F13" s="190"/>
      <x:c r="G13" s="188" t="str">
        <x:v>滚动 7 天</x:v>
      </x:c>
      <x:c r="H13" s="189"/>
      <x:c r="I13" s="190"/>
      <x:c r="J13" s="188" t="str">
        <x:v>USD · 全市场</x:v>
      </x:c>
      <x:c r="K13" s="189"/>
      <x:c r="L13" s="190"/>
      <x:c r="M13" s="188" t="str">
        <x:v>USD</x:v>
      </x:c>
      <x:c r="N13" s="189"/>
      <x:c r="O13" s="190"/>
      <x:c r="P13" s="188" t="str">
        <x:v>百万美元 · 美东</x:v>
      </x:c>
      <x:c r="Q13" s="189"/>
      <x:c r="R13" s="190"/>
    </x:row>
    <x:row r="14" ht="23" customHeight="1">
      <x:c r="A14" s="247" t="str">
        <x:v>同日样本观察日</x:v>
      </x:c>
      <x:c r="B14" s="248"/>
      <x:c r="C14" s="249"/>
      <x:c r="D14" s="179" t="str">
        <x:v>持仓可查产品</x:v>
      </x:c>
      <x:c r="E14" s="180"/>
      <x:c r="F14" s="181"/>
      <x:c r="G14" s="295" t="str">
        <x:v>已核实持仓样本</x:v>
      </x:c>
      <x:c r="H14" s="296"/>
      <x:c r="I14" s="297"/>
      <x:c r="J14" s="179" t="str">
        <x:v>现货产品数</x:v>
      </x:c>
      <x:c r="K14" s="180"/>
      <x:c r="L14" s="181"/>
      <x:c r="M14" s="179" t="str">
        <x:v>流通 XRP</x:v>
      </x:c>
      <x:c r="N14" s="180"/>
      <x:c r="O14" s="181"/>
      <x:c r="P14" s="179" t="str">
        <x:v>发行商直接披露</x:v>
      </x:c>
      <x:c r="Q14" s="180"/>
      <x:c r="R14" s="181"/>
    </x:row>
    <x:row r="15" ht="23" customHeight="1">
      <x:c r="A15" s="250"/>
      <x:c r="B15" s="251"/>
      <x:c r="C15" s="252"/>
      <x:c r="D15" s="182"/>
      <x:c r="E15" s="183"/>
      <x:c r="F15" s="184"/>
      <x:c r="G15" s="298"/>
      <x:c r="H15" s="299"/>
      <x:c r="I15" s="300"/>
      <x:c r="J15" s="182"/>
      <x:c r="K15" s="183"/>
      <x:c r="L15" s="184"/>
      <x:c r="M15" s="182"/>
      <x:c r="N15" s="183"/>
      <x:c r="O15" s="184"/>
      <x:c r="P15" s="182"/>
      <x:c r="Q15" s="183"/>
      <x:c r="R15" s="184"/>
    </x:row>
    <x:row r="16" ht="23" customHeight="1">
      <x:c r="A16" s="253" t="str">
        <x:v>2026-10-19</x:v>
      </x:c>
      <x:c r="B16" s="254"/>
      <x:c r="C16" s="255"/>
      <x:c r="D16" s="212" t="str">
        <x:v>4/5</x:v>
      </x:c>
      <x:c r="E16" s="213"/>
      <x:c r="F16" s="214"/>
      <x:c r="G16" s="301" t="n">
        <x:f>'持仓录入'!B5</x:f>
        <x:v>243456798.335</x:v>
      </x:c>
      <x:c r="H16" s="302"/>
      <x:c r="I16" s="303"/>
      <x:c r="J16" s="310" t="n">
        <x:v>5</x:v>
      </x:c>
      <x:c r="K16" s="311"/>
      <x:c r="L16" s="312"/>
      <x:c r="M16" s="322" t="n">
        <x:f>'行情与资金流'!B9</x:f>
        <x:v>63129671205</x:v>
      </x:c>
      <x:c r="N16" s="323"/>
      <x:c r="O16" s="324"/>
      <x:c r="P16" s="322" t="str">
        <x:v>2/5</x:v>
      </x:c>
      <x:c r="Q16" s="323"/>
      <x:c r="R16" s="324"/>
    </x:row>
    <x:row r="17" ht="23" customHeight="1">
      <x:c r="A17" s="253"/>
      <x:c r="B17" s="254"/>
      <x:c r="C17" s="255"/>
      <x:c r="D17" s="212"/>
      <x:c r="E17" s="213"/>
      <x:c r="F17" s="214"/>
      <x:c r="G17" s="301"/>
      <x:c r="H17" s="302"/>
      <x:c r="I17" s="303"/>
      <x:c r="J17" s="310"/>
      <x:c r="K17" s="311"/>
      <x:c r="L17" s="312"/>
      <x:c r="M17" s="322"/>
      <x:c r="N17" s="323"/>
      <x:c r="O17" s="324"/>
      <x:c r="P17" s="322"/>
      <x:c r="Q17" s="323"/>
      <x:c r="R17" s="324"/>
    </x:row>
    <x:row r="18" ht="23" customHeight="1">
      <x:c r="A18" s="253"/>
      <x:c r="B18" s="254"/>
      <x:c r="C18" s="255"/>
      <x:c r="D18" s="212"/>
      <x:c r="E18" s="213"/>
      <x:c r="F18" s="214"/>
      <x:c r="G18" s="301"/>
      <x:c r="H18" s="302"/>
      <x:c r="I18" s="303"/>
      <x:c r="J18" s="310"/>
      <x:c r="K18" s="311"/>
      <x:c r="L18" s="312"/>
      <x:c r="M18" s="322"/>
      <x:c r="N18" s="323"/>
      <x:c r="O18" s="324"/>
      <x:c r="P18" s="322"/>
      <x:c r="Q18" s="323"/>
      <x:c r="R18" s="324"/>
    </x:row>
    <x:row r="19" ht="23" customHeight="1">
      <x:c r="A19" s="256" t="str">
        <x:v>美东 · 逐只口径见下表</x:v>
      </x:c>
      <x:c r="B19" s="257"/>
      <x:c r="C19" s="258"/>
      <x:c r="D19" s="188" t="str">
        <x:v>只 · 含注明来源的转录</x:v>
      </x:c>
      <x:c r="E19" s="189"/>
      <x:c r="F19" s="190"/>
      <x:c r="G19" s="304" t="str">
        <x:v>XRP · 1/5只 · 2026-10-19美东</x:v>
      </x:c>
      <x:c r="H19" s="305"/>
      <x:c r="I19" s="306"/>
      <x:c r="J19" s="188" t="str">
        <x:v>只 · 已确认产品</x:v>
      </x:c>
      <x:c r="K19" s="189"/>
      <x:c r="L19" s="190"/>
      <x:c r="M19" s="188" t="str">
        <x:v>XRP · CoinGecko</x:v>
      </x:c>
      <x:c r="N19" s="189"/>
      <x:c r="O19" s="190"/>
      <x:c r="P19" s="188" t="str">
        <x:v>只 · 其他记录另标转录</x:v>
      </x:c>
      <x:c r="Q19" s="189"/>
      <x:c r="R19" s="190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8" t="str">
        <x:v>  近7个完整 UTC 日收盘价</x:v>
      </x:c>
      <x:c r="B21" s="329"/>
      <x:c r="C21" s="329"/>
      <x:c r="D21" s="329"/>
      <x:c r="E21" s="329"/>
      <x:c r="F21" s="330"/>
      <x:c r="G21" s="328" t="str">
        <x:v>  逐日收盘变动</x:v>
      </x:c>
      <x:c r="H21" s="329"/>
      <x:c r="I21" s="329"/>
      <x:c r="J21" s="329"/>
      <x:c r="K21" s="329"/>
      <x:c r="L21" s="330"/>
      <x:c r="M21" s="328" t="str">
        <x:v>ETF 持仓核实范围</x:v>
      </x:c>
      <x:c r="N21" s="329"/>
      <x:c r="O21" s="329"/>
      <x:c r="P21" s="329"/>
      <x:c r="Q21" s="329"/>
      <x:c r="R21" s="330"/>
    </x:row>
    <x:row r="22" ht="23" customHeight="1">
      <x:c r="A22" s="147"/>
      <x:c r="B22" s="143"/>
      <x:c r="C22" s="143"/>
      <x:c r="D22" s="143"/>
      <x:c r="E22" s="143"/>
      <x:c r="F22" s="148"/>
      <x:c r="G22" s="147"/>
      <x:c r="H22" s="143"/>
      <x:c r="I22" s="143"/>
      <x:c r="J22" s="143"/>
      <x:c r="K22" s="143"/>
      <x:c r="L22" s="148"/>
      <x:c r="M22" s="147"/>
      <x:c r="N22" s="143"/>
      <x:c r="O22" s="143"/>
      <x:c r="P22" s="143"/>
      <x:c r="Q22" s="143"/>
      <x:c r="R22" s="148"/>
    </x:row>
    <x:row r="23" ht="23" customHeight="1">
      <x:c r="A23" s="147"/>
      <x:c r="B23" s="143"/>
      <x:c r="C23" s="143"/>
      <x:c r="D23" s="143"/>
      <x:c r="E23" s="143"/>
      <x:c r="F23" s="148"/>
      <x:c r="G23" s="147"/>
      <x:c r="H23" s="143"/>
      <x:c r="I23" s="143"/>
      <x:c r="J23" s="143"/>
      <x:c r="K23" s="143"/>
      <x:c r="L23" s="148"/>
      <x:c r="M23" s="334" t="str">
        <x:v>逐只可查 4/5 · 同日样本 1/5</x:v>
      </x:c>
      <x:c r="N23" s="335"/>
      <x:c r="O23" s="335"/>
      <x:c r="P23" s="335"/>
      <x:c r="Q23" s="335"/>
      <x:c r="R23" s="336"/>
    </x:row>
    <x:row r="24" ht="23" customHeight="1">
      <x:c r="A24" s="147"/>
      <x:c r="B24" s="143"/>
      <x:c r="C24" s="143"/>
      <x:c r="D24" s="143"/>
      <x:c r="E24" s="143"/>
      <x:c r="F24" s="148"/>
      <x:c r="G24" s="147"/>
      <x:c r="H24" s="143"/>
      <x:c r="I24" s="143"/>
      <x:c r="J24" s="143"/>
      <x:c r="K24" s="143"/>
      <x:c r="L24" s="148"/>
      <x:c r="M24" s="334"/>
      <x:c r="N24" s="335"/>
      <x:c r="O24" s="335"/>
      <x:c r="P24" s="335"/>
      <x:c r="Q24" s="335"/>
      <x:c r="R24" s="336"/>
    </x:row>
    <x:row r="25" ht="23" customHeight="1">
      <x:c r="A25" s="147"/>
      <x:c r="B25" s="143"/>
      <x:c r="C25" s="143"/>
      <x:c r="D25" s="143"/>
      <x:c r="E25" s="143"/>
      <x:c r="F25" s="148"/>
      <x:c r="G25" s="147"/>
      <x:c r="H25" s="143"/>
      <x:c r="I25" s="143"/>
      <x:c r="J25" s="143"/>
      <x:c r="K25" s="143"/>
      <x:c r="L25" s="148"/>
      <x:c r="M25" s="147"/>
      <x:c r="N25" s="143"/>
      <x:c r="O25" s="143"/>
      <x:c r="P25" s="143"/>
      <x:c r="Q25" s="143"/>
      <x:c r="R25" s="148"/>
    </x:row>
    <x:row r="26" ht="23" customHeight="1">
      <x:c r="A26" s="147"/>
      <x:c r="B26" s="143"/>
      <x:c r="C26" s="143"/>
      <x:c r="D26" s="143"/>
      <x:c r="E26" s="143"/>
      <x:c r="F26" s="148"/>
      <x:c r="G26" s="147"/>
      <x:c r="H26" s="143"/>
      <x:c r="I26" s="143"/>
      <x:c r="J26" s="143"/>
      <x:c r="K26" s="143"/>
      <x:c r="L26" s="148"/>
      <x:c r="M26" s="340" t="str">
        <x:v>XRP   XRPC   XRPZ   GXRP   TOXR</x:v>
      </x:c>
      <x:c r="N26" s="341"/>
      <x:c r="O26" s="341"/>
      <x:c r="P26" s="341"/>
      <x:c r="Q26" s="341"/>
      <x:c r="R26" s="342"/>
    </x:row>
    <x:row r="27" ht="23" customHeight="1">
      <x:c r="A27" s="147"/>
      <x:c r="B27" s="143"/>
      <x:c r="C27" s="143"/>
      <x:c r="D27" s="143"/>
      <x:c r="E27" s="143"/>
      <x:c r="F27" s="148"/>
      <x:c r="G27" s="147"/>
      <x:c r="H27" s="143"/>
      <x:c r="I27" s="143"/>
      <x:c r="J27" s="143"/>
      <x:c r="K27" s="143"/>
      <x:c r="L27" s="148"/>
      <x:c r="M27" s="340"/>
      <x:c r="N27" s="341"/>
      <x:c r="O27" s="341"/>
      <x:c r="P27" s="341"/>
      <x:c r="Q27" s="341"/>
      <x:c r="R27" s="342"/>
    </x:row>
    <x:row r="28" ht="23" customHeight="1">
      <x:c r="A28" s="147"/>
      <x:c r="B28" s="143"/>
      <x:c r="C28" s="143"/>
      <x:c r="D28" s="143"/>
      <x:c r="E28" s="143"/>
      <x:c r="F28" s="148"/>
      <x:c r="G28" s="147"/>
      <x:c r="H28" s="143"/>
      <x:c r="I28" s="143"/>
      <x:c r="J28" s="143"/>
      <x:c r="K28" s="143"/>
      <x:c r="L28" s="148"/>
      <x:c r="M28" s="147"/>
      <x:c r="N28" s="143"/>
      <x:c r="O28" s="143"/>
      <x:c r="P28" s="143"/>
      <x:c r="Q28" s="143"/>
      <x:c r="R28" s="148"/>
    </x:row>
    <x:row r="29" ht="23" customHeight="1">
      <x:c r="A29" s="147"/>
      <x:c r="B29" s="143"/>
      <x:c r="C29" s="143"/>
      <x:c r="D29" s="143"/>
      <x:c r="E29" s="143"/>
      <x:c r="F29" s="148"/>
      <x:c r="G29" s="147"/>
      <x:c r="H29" s="143"/>
      <x:c r="I29" s="143"/>
      <x:c r="J29" s="143"/>
      <x:c r="K29" s="143"/>
      <x:c r="L29" s="148"/>
      <x:c r="M29" s="147"/>
      <x:c r="N29" s="143"/>
      <x:c r="O29" s="143"/>
      <x:c r="P29" s="143"/>
      <x:c r="Q29" s="143"/>
      <x:c r="R29" s="148"/>
    </x:row>
    <x:row r="30" ht="23" customHeight="1">
      <x:c r="A30" s="147"/>
      <x:c r="B30" s="143"/>
      <x:c r="C30" s="143"/>
      <x:c r="D30" s="143"/>
      <x:c r="E30" s="143"/>
      <x:c r="F30" s="148"/>
      <x:c r="G30" s="147"/>
      <x:c r="H30" s="143"/>
      <x:c r="I30" s="143"/>
      <x:c r="J30" s="143"/>
      <x:c r="K30" s="143"/>
      <x:c r="L30" s="148"/>
      <x:c r="M30" s="348" t="str">
        <x:v>统计范围</x:v>
      </x:c>
      <x:c r="N30" s="349"/>
      <x:c r="O30" s="349"/>
      <x:c r="P30" s="350" t="str">
        <x:v>纯现货信托</x:v>
      </x:c>
      <x:c r="Q30" s="350"/>
      <x:c r="R30" s="351"/>
    </x:row>
    <x:row r="31" ht="23" customHeight="1">
      <x:c r="A31" s="147"/>
      <x:c r="B31" s="143"/>
      <x:c r="C31" s="143"/>
      <x:c r="D31" s="143"/>
      <x:c r="E31" s="143"/>
      <x:c r="F31" s="148"/>
      <x:c r="G31" s="147"/>
      <x:c r="H31" s="143"/>
      <x:c r="I31" s="143"/>
      <x:c r="J31" s="143"/>
      <x:c r="K31" s="143"/>
      <x:c r="L31" s="148"/>
      <x:c r="M31" s="352"/>
      <x:c r="N31" s="353"/>
      <x:c r="O31" s="353"/>
      <x:c r="P31" s="350"/>
      <x:c r="Q31" s="350"/>
      <x:c r="R31" s="351"/>
    </x:row>
    <x:row r="32" ht="23" customHeight="1">
      <x:c r="A32" s="147"/>
      <x:c r="B32" s="143"/>
      <x:c r="C32" s="143"/>
      <x:c r="D32" s="143"/>
      <x:c r="E32" s="143"/>
      <x:c r="F32" s="148"/>
      <x:c r="G32" s="147"/>
      <x:c r="H32" s="143"/>
      <x:c r="I32" s="143"/>
      <x:c r="J32" s="143"/>
      <x:c r="K32" s="143"/>
      <x:c r="L32" s="148"/>
      <x:c r="M32" s="218"/>
      <x:c r="N32" s="48"/>
      <x:c r="O32" s="48"/>
      <x:c r="P32" s="48"/>
      <x:c r="Q32" s="48"/>
      <x:c r="R32" s="219"/>
    </x:row>
    <x:row r="33" ht="23" customHeight="1">
      <x:c r="A33" s="147"/>
      <x:c r="B33" s="143"/>
      <x:c r="C33" s="143"/>
      <x:c r="D33" s="143"/>
      <x:c r="E33" s="143"/>
      <x:c r="F33" s="148"/>
      <x:c r="G33" s="147"/>
      <x:c r="H33" s="143"/>
      <x:c r="I33" s="143"/>
      <x:c r="J33" s="143"/>
      <x:c r="K33" s="143"/>
      <x:c r="L33" s="148"/>
      <x:c r="M33" s="357" t="str">
        <x:v>不含 BITW 多资产与 XRPR 间接持仓</x:v>
      </x:c>
      <x:c r="N33" s="358"/>
      <x:c r="O33" s="358"/>
      <x:c r="P33" s="358"/>
      <x:c r="Q33" s="358"/>
      <x:c r="R33" s="359"/>
    </x:row>
    <x:row r="34" ht="23" customHeight="1">
      <x:c r="A34" s="149"/>
      <x:c r="B34" s="150"/>
      <x:c r="C34" s="150"/>
      <x:c r="D34" s="150"/>
      <x:c r="E34" s="150"/>
      <x:c r="F34" s="151"/>
      <x:c r="G34" s="149"/>
      <x:c r="H34" s="150"/>
      <x:c r="I34" s="150"/>
      <x:c r="J34" s="150"/>
      <x:c r="K34" s="150"/>
      <x:c r="L34" s="151"/>
      <x:c r="M34" s="176"/>
      <x:c r="N34" s="177"/>
      <x:c r="O34" s="177"/>
      <x:c r="P34" s="177"/>
      <x:c r="Q34" s="177"/>
      <x:c r="R34" s="178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8" t="str">
        <x:v>  美国现货 XRP ETF 产品明细  ·  持仓日期逐只标注  ·  流量 待披露 美东</x:v>
      </x:c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329"/>
      <x:c r="Q36" s="329"/>
      <x:c r="R36" s="330"/>
    </x:row>
    <x:row r="37" ht="29" customHeight="1">
      <x:c r="A37" s="364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5"/>
    </x:row>
    <x:row r="38" ht="27" customHeight="1">
      <x:c r="A38" s="377" t="str">
        <x:f>'持仓录入'!F18</x:f>
        <x:v>XRP</x:v>
      </x:c>
      <x:c r="B38" s="378"/>
      <x:c r="C38" s="379" t="str">
        <x:f>'持仓录入'!G18</x:f>
        <x:v>Bitwise</x:v>
      </x:c>
      <x:c r="D38" s="379"/>
      <x:c r="E38" s="380" t="n">
        <x:f>'持仓录入'!J18</x:f>
        <x:v>0.34</x:v>
      </x:c>
      <x:c r="F38" s="379"/>
      <x:c r="G38" s="381" t="n">
        <x:f>'持仓录入'!H18</x:f>
        <x:v>417729396.21</x:v>
      </x:c>
      <x:c r="H38" s="382"/>
      <x:c r="I38" s="382"/>
      <x:c r="J38" s="382"/>
      <x:c r="K38" s="383" t="str">
        <x:f>'持仓录入'!I18</x:f>
        <x:v>2026-10-18</x:v>
      </x:c>
      <x:c r="L38" s="383"/>
      <x:c r="M38" s="384" t="str">
        <x:v>未披露</x:v>
      </x:c>
      <x:c r="N38" s="385"/>
      <x:c r="O38" s="385"/>
      <x:c r="P38" s="383" t="str">
        <x:v>—</x:v>
      </x:c>
      <x:c r="Q38" s="383"/>
      <x:c r="R38" s="386"/>
    </x:row>
    <x:row r="39" ht="27" customHeight="1">
      <x:c r="A39" s="397" t="str">
        <x:f>'持仓录入'!F19</x:f>
        <x:v>XRPC</x:v>
      </x:c>
      <x:c r="B39" s="398"/>
      <x:c r="C39" s="15" t="str">
        <x:f>'持仓录入'!G19</x:f>
        <x:v>Canary</x:v>
      </x:c>
      <x:c r="D39" s="15"/>
      <x:c r="E39" s="399" t="n">
        <x:f>'持仓录入'!J19</x:f>
        <x:v>0.5</x:v>
      </x:c>
      <x:c r="F39" s="15"/>
      <x:c r="G39" s="400" t="n">
        <x:f>'持仓录入'!H19</x:f>
        <x:v>243456798.335</x:v>
      </x:c>
      <x:c r="H39" s="401"/>
      <x:c r="I39" s="401"/>
      <x:c r="J39" s="401"/>
      <x:c r="K39" s="402" t="str">
        <x:f>'持仓录入'!I19</x:f>
        <x:v>2026-10-19</x:v>
      </x:c>
      <x:c r="L39" s="402"/>
      <x:c r="M39" s="403" t="str">
        <x:v>未披露</x:v>
      </x:c>
      <x:c r="N39" s="404"/>
      <x:c r="O39" s="404"/>
      <x:c r="P39" s="402" t="str">
        <x:v>—</x:v>
      </x:c>
      <x:c r="Q39" s="402"/>
      <x:c r="R39" s="405"/>
    </x:row>
    <x:row r="40" ht="27" customHeight="1">
      <x:c r="A40" s="377" t="str">
        <x:f>'持仓录入'!F20</x:f>
        <x:v>XRPZ</x:v>
      </x:c>
      <x:c r="B40" s="378"/>
      <x:c r="C40" s="379" t="str">
        <x:f>'持仓录入'!G20</x:f>
        <x:v>Franklin Templeton</x:v>
      </x:c>
      <x:c r="D40" s="379"/>
      <x:c r="E40" s="380" t="n">
        <x:f>'持仓录入'!J20</x:f>
        <x:v>0.19</x:v>
      </x:c>
      <x:c r="F40" s="379"/>
      <x:c r="G40" s="381" t="n">
        <x:f>'持仓录入'!H20</x:f>
        <x:v>301795330.58</x:v>
      </x:c>
      <x:c r="H40" s="382"/>
      <x:c r="I40" s="382"/>
      <x:c r="J40" s="382"/>
      <x:c r="K40" s="383" t="str">
        <x:f>'持仓录入'!I20</x:f>
        <x:v>2026-10-16</x:v>
      </x:c>
      <x:c r="L40" s="383"/>
      <x:c r="M40" s="384" t="str">
        <x:v>未披露</x:v>
      </x:c>
      <x:c r="N40" s="385"/>
      <x:c r="O40" s="385"/>
      <x:c r="P40" s="383" t="str">
        <x:v>—</x:v>
      </x:c>
      <x:c r="Q40" s="383"/>
      <x:c r="R40" s="386"/>
    </x:row>
    <x:row r="41" ht="27" customHeight="1">
      <x:c r="A41" s="397" t="str">
        <x:f>'持仓录入'!F21</x:f>
        <x:v>GXRP</x:v>
      </x:c>
      <x:c r="B41" s="398"/>
      <x:c r="C41" s="15" t="str">
        <x:f>'持仓录入'!G21</x:f>
        <x:v>Grayscale</x:v>
      </x:c>
      <x:c r="D41" s="15"/>
      <x:c r="E41" s="399" t="str">
        <x:v>待核实</x:v>
      </x:c>
      <x:c r="F41" s="15"/>
      <x:c r="G41" s="407" t="str">
        <x:v>未核实</x:v>
      </x:c>
      <x:c r="H41" s="404"/>
      <x:c r="I41" s="404"/>
      <x:c r="J41" s="404"/>
      <x:c r="K41" s="402" t="str">
        <x:v>—</x:v>
      </x:c>
      <x:c r="L41" s="402"/>
      <x:c r="M41" s="403" t="str">
        <x:v>未披露</x:v>
      </x:c>
      <x:c r="N41" s="404"/>
      <x:c r="O41" s="404"/>
      <x:c r="P41" s="402" t="str">
        <x:v>—</x:v>
      </x:c>
      <x:c r="Q41" s="402"/>
      <x:c r="R41" s="405"/>
    </x:row>
    <x:row r="42" ht="27" customHeight="1">
      <x:c r="A42" s="377" t="str">
        <x:f>'持仓录入'!F22</x:f>
        <x:v>TOXR</x:v>
      </x:c>
      <x:c r="B42" s="378"/>
      <x:c r="C42" s="379" t="str">
        <x:f>'持仓录入'!G22</x:f>
        <x:v>21shares</x:v>
      </x:c>
      <x:c r="D42" s="379"/>
      <x:c r="E42" s="380" t="n">
        <x:f>'持仓录入'!J22</x:f>
        <x:v>0.3</x:v>
      </x:c>
      <x:c r="F42" s="379"/>
      <x:c r="G42" s="381" t="n">
        <x:f>'持仓录入'!H22</x:f>
        <x:v>107295620.64</x:v>
      </x:c>
      <x:c r="H42" s="382"/>
      <x:c r="I42" s="382"/>
      <x:c r="J42" s="382"/>
      <x:c r="K42" s="383" t="str">
        <x:f>'持仓录入'!I22</x:f>
        <x:v>2026-10-16</x:v>
      </x:c>
      <x:c r="L42" s="383"/>
      <x:c r="M42" s="384" t="str">
        <x:v>未披露</x:v>
      </x:c>
      <x:c r="N42" s="385"/>
      <x:c r="O42" s="385"/>
      <x:c r="P42" s="383" t="str">
        <x:v>—</x:v>
      </x:c>
      <x:c r="Q42" s="383"/>
      <x:c r="R42" s="386"/>
    </x:row>
    <x:row r="43" ht="34" customHeight="1">
      <x:c r="A43" s="415" t="str">
        <x:v>已核实持仓样本 1/5 只</x:v>
      </x:c>
      <x:c r="B43" s="416"/>
      <x:c r="C43" s="416"/>
      <x:c r="D43" s="416"/>
      <x:c r="E43" s="416"/>
      <x:c r="F43" s="416"/>
      <x:c r="G43" s="417" t="n">
        <x:f>'持仓录入'!B5</x:f>
        <x:v>243456798.335</x:v>
      </x:c>
      <x:c r="H43" s="416"/>
      <x:c r="I43" s="416"/>
      <x:c r="J43" s="416"/>
      <x:c r="K43" s="416" t="str">
        <x:v>ETF 净流量 · 待披露 美东</x:v>
      </x:c>
      <x:c r="L43" s="416"/>
      <x:c r="M43" s="416"/>
      <x:c r="N43" s="416"/>
      <x:c r="O43" s="416"/>
      <x:c r="P43" s="418" t="str">
        <x:v>待披露</x:v>
      </x:c>
      <x:c r="Q43" s="416"/>
      <x:c r="R43" s="419"/>
    </x:row>
    <x:row r="44" ht="23" customHeight="1">
      <x:c r="A44" s="354" t="str">
        <x:v>口径：转录行日期为数据集 settled 观察日；直接披露行用发行商日期；不据此混算原生币日变化。</x:v>
      </x:c>
      <x:c r="B44" s="355"/>
      <x:c r="C44" s="355"/>
      <x:c r="D44" s="355"/>
      <x:c r="E44" s="355"/>
      <x:c r="F44" s="355"/>
      <x:c r="G44" s="355"/>
      <x:c r="H44" s="355"/>
      <x:c r="I44" s="355"/>
      <x:c r="J44" s="355"/>
      <x:c r="K44" s="355"/>
      <x:c r="L44" s="355"/>
      <x:c r="M44" s="355"/>
      <x:c r="N44" s="355"/>
      <x:c r="O44" s="355"/>
      <x:c r="P44" s="355"/>
      <x:c r="Q44" s="355"/>
      <x:c r="R44" s="356"/>
    </x:row>
    <x:row r="45" ht="23" customHeight="1">
      <x:c r="A45" s="354" t="str">
        <x:v>0.0 表示来源明确披露零流量；“未披露”或“未核实”表示缺失，不能填零。</x:v>
      </x:c>
      <x:c r="B45" s="355"/>
      <x:c r="C45" s="355"/>
      <x:c r="D45" s="355"/>
      <x:c r="E45" s="355"/>
      <x:c r="F45" s="355"/>
      <x:c r="G45" s="355"/>
      <x:c r="H45" s="355"/>
      <x:c r="I45" s="355"/>
      <x:c r="J45" s="355"/>
      <x:c r="K45" s="355"/>
      <x:c r="L45" s="355"/>
      <x:c r="M45" s="355"/>
      <x:c r="N45" s="355"/>
      <x:c r="O45" s="355"/>
      <x:c r="P45" s="355"/>
      <x:c r="Q45" s="355"/>
      <x:c r="R45" s="356"/>
    </x:row>
    <x:row r="46" ht="23" customHeight="1">
      <x:c r="A46" s="161" t="str">
        <x:v>XRPZ / TOXR 持仓来自公开接口转录的发行商数字；其余已填持仓见发行商原件。逐只链接见「持仓录入」。</x:v>
      </x:c>
      <x:c r="B46" s="162"/>
      <x:c r="C46" s="162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162"/>
      <x:c r="O46" s="162"/>
      <x:c r="P46" s="162"/>
      <x:c r="Q46" s="162"/>
      <x:c r="R46" s="163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20" t="str">
        <x:v>行情观察 10:05 北京时间｜收盘截至 2026-10-19 UTC｜持仓样本 2026-10-19 美东（逐只日期见表）｜流量 待披露 美东</x:v>
      </x:c>
      <x:c r="B48" s="420"/>
      <x:c r="C48" s="420"/>
      <x:c r="D48" s="420"/>
      <x:c r="E48" s="420"/>
      <x:c r="F48" s="420"/>
      <x:c r="G48" s="420"/>
      <x:c r="H48" s="420"/>
      <x:c r="I48" s="420"/>
      <x:c r="J48" s="420"/>
      <x:c r="K48" s="420"/>
      <x:c r="L48" s="420"/>
      <x:c r="M48" s="420"/>
      <x:c r="N48" s="420"/>
      <x:c r="O48" s="420"/>
      <x:c r="P48" s="420"/>
      <x:c r="Q48" s="420"/>
      <x:c r="R48" s="420"/>
    </x:row>
    <x:row r="49" ht="23" customHeight="1">
      <x:c r="A49" s="420" t="str">
        <x:v>原始行情采集 2026-10-20T10:06:59+08:00｜本次产品明细核验 2026-10-20T10:10:39+08:00</x:v>
      </x:c>
      <x:c r="B49" s="420"/>
      <x:c r="C49" s="420"/>
      <x:c r="D49" s="420"/>
      <x:c r="E49" s="420"/>
      <x:c r="F49" s="420"/>
      <x:c r="G49" s="420"/>
      <x:c r="H49" s="420"/>
      <x:c r="I49" s="420"/>
      <x:c r="J49" s="420"/>
      <x:c r="K49" s="420"/>
      <x:c r="L49" s="420"/>
      <x:c r="M49" s="420"/>
      <x:c r="N49" s="420"/>
      <x:c r="O49" s="420"/>
      <x:c r="P49" s="420"/>
      <x:c r="Q49" s="420"/>
      <x:c r="R49" s="420"/>
    </x:row>
    <x:row r="50" ht="23" customHeight="1">
      <x:c r="A50" s="420" t="str">
        <x:v>行情、ETF 持仓、美元流量和链上指标属于不同口径，均按各自来源日期展示。</x:v>
      </x:c>
      <x:c r="B50" s="420"/>
      <x:c r="C50" s="420"/>
      <x:c r="D50" s="420"/>
      <x:c r="E50" s="420"/>
      <x:c r="F50" s="420"/>
      <x:c r="G50" s="420"/>
      <x:c r="H50" s="420"/>
      <x:c r="I50" s="420"/>
      <x:c r="J50" s="420"/>
      <x:c r="K50" s="420"/>
      <x:c r="L50" s="420"/>
      <x:c r="M50" s="420"/>
      <x:c r="N50" s="420"/>
      <x:c r="O50" s="420"/>
      <x:c r="P50" s="420"/>
      <x:c r="Q50" s="420"/>
      <x:c r="R50" s="420"/>
    </x:row>
    <x:row r="51" ht="23" customHeight="1">
      <x:c r="A51" s="420" t="str">
        <x:v>产品链接、费率与流量来源见「持仓录入」；价格历史见「行情与资金流」；链上数据见「链上与动态」。</x:v>
      </x:c>
      <x:c r="B51" s="420"/>
      <x:c r="C51" s="420"/>
      <x:c r="D51" s="420"/>
      <x:c r="E51" s="420"/>
      <x:c r="F51" s="420"/>
      <x:c r="G51" s="420"/>
      <x:c r="H51" s="420"/>
      <x:c r="I51" s="420"/>
      <x:c r="J51" s="420"/>
      <x:c r="K51" s="420"/>
      <x:c r="L51" s="420"/>
      <x:c r="M51" s="420"/>
      <x:c r="N51" s="420"/>
      <x:c r="O51" s="420"/>
      <x:c r="P51" s="420"/>
      <x:c r="Q51" s="420"/>
      <x:c r="R51" s="420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aec407831f934f02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1/5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243456798.335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417729396.21</x:v>
      </x:c>
      <x:c r="I18" s="16" t="str">
        <x:v>2026-10-18</x:v>
      </x:c>
      <x:c r="J18" s="44" t="n">
        <x:v>0.34</x:v>
      </x:c>
      <x:c r="K18" s="46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41"/>
      <x:c r="S18" s="40"/>
      <x:c r="T18" s="40"/>
      <x:c r="U18" s="40"/>
    </x:row>
    <x:row r="19" ht="48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243456798.335</x:v>
      </x:c>
      <x:c r="I19" s="17" t="str">
        <x:v>2026-10-19</x:v>
      </x:c>
      <x:c r="J19" s="45" t="n">
        <x:v>0.5</x:v>
      </x:c>
      <x:c r="K19" s="47"/>
      <x:c r="L19" s="9" t="str">
        <x:v>未披露</x:v>
      </x:c>
      <x:c r="M19" s="38" t="str">
        <x:v>https://canaryetfs.com/xrpc/</x:v>
      </x:c>
      <x:c r="N19" s="38" t="str">
        <x:v>https://canaryetfs.com/xrpc/</x:v>
      </x:c>
      <x:c r="O19" s="38" t="str">
        <x:v>https://canaryetfs.com/xrpc/</x:v>
      </x:c>
      <x:c r="P19" s="38" t="str"/>
      <x:c r="Q19" s="36" t="str">
        <x:v>发行商 Holdings 表 10-19 Quantity Original；不是数据集观察日</x:v>
      </x:c>
      <x:c r="R19" s="41"/>
      <x:c r="S19" s="40"/>
      <x:c r="T19" s="40"/>
      <x:c r="U19" s="40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301795330.58</x:v>
      </x:c>
      <x:c r="I20" s="16" t="str">
        <x:v>2026-10-16</x:v>
      </x:c>
      <x:c r="J20" s="44" t="n">
        <x:v>0.19</x:v>
      </x:c>
      <x:c r="K20" s="46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>
        <x:v>https://www.franklintempleton.com/investments/options/exchange-traded-funds/products/47318/SINGLCLASS/franklin-xrp-etf/XRPZ</x:v>
      </x:c>
      <x:c r="P20" s="36" t="str"/>
      <x:c r="Q20" s="36" t="str">
        <x:v>转录数据集 settled 观察日；发行商原始日期未独立复核；发行商页面未解析到带日期的原生 XRP 数量</x:v>
      </x:c>
      <x:c r="R20" s="41" t="n">
        <x:v>295825867.22</x:v>
      </x:c>
      <x:c r="S20" s="40" t="str">
        <x:v>2026-10-05</x:v>
      </x:c>
      <x:c r="T20" s="40" t="str">
        <x:v>https://www.franklintempleton.com/investments/options/exchange-traded-funds/products/47318/SINGLCLASS/franklin-xrp-etf/XRPZ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待核实</x:v>
      </x:c>
      <x:c r="J21" s="45"/>
      <x:c r="K21" s="47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2026-10-16</x:v>
      </x:c>
      <x:c r="J22" s="44" t="n">
        <x:v>0.3</x:v>
      </x:c>
      <x:c r="K22" s="46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41"/>
      <x:c r="S22" s="40"/>
      <x:c r="T22" s="40"/>
      <x:c r="U22" s="40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4/5；同日样本 1/5。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2026-10-20 10:06:59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1.3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-0.010365800000000001</x:v>
      </x:c>
      <x:c r="C5" s="1"/>
      <x:c r="D5" s="1" t="str">
        <x:v>持币总量状态</x:v>
      </x:c>
      <x:c r="E5" s="1" t="str">
        <x:v>逐只 4/5；同日 1/5；总量待核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1301429787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81938029297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-0.015310999999999998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7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60" t="str">
        <x:v>当前未取得可核验的逐日 ETF 美元净资金流。
缺失数据不作零处理。</x:v>
      </x:c>
      <x:c r="B11" s="61"/>
      <x:c r="C11" s="1"/>
      <x:c r="D11" s="14" t="str">
        <x:v>10-13</x:v>
      </x:c>
      <x:c r="E11" s="62" t="n">
        <x:v>1.365131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10-14</x:v>
      </x:c>
      <x:c r="M11" s="63" t="n">
        <x:f>MAX(E12/E11-1,0)</x:f>
        <x:v>0</x:v>
      </x:c>
      <x:c r="N11" s="63" t="n">
        <x:f>MIN(E12/E11-1,0)</x:f>
        <x:v>-0.025299403500469997</x:v>
      </x:c>
    </x:row>
    <x:row r="12" ht="48" customHeight="1">
      <x:c r="A12" s="60"/>
      <x:c r="B12" s="61"/>
      <x:c r="C12" s="1"/>
      <x:c r="D12" s="14" t="str">
        <x:v>10-14</x:v>
      </x:c>
      <x:c r="E12" s="62" t="n">
        <x:v>1.330594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10-15</x:v>
      </x:c>
      <x:c r="M12" s="63" t="n">
        <x:f>MAX(E13/E12-1,0)</x:f>
        <x:v>0.0022170549393729644</x:v>
      </x:c>
      <x:c r="N12" s="63" t="n">
        <x:f>MIN(E13/E12-1,0)</x:f>
        <x:v>0</x:v>
      </x:c>
    </x:row>
    <x:row r="13" ht="28" customHeight="1">
      <x:c r="A13" s="60"/>
      <x:c r="B13" s="61"/>
      <x:c r="C13" s="1"/>
      <x:c r="D13" s="14" t="str">
        <x:v>10-15</x:v>
      </x:c>
      <x:c r="E13" s="62" t="n">
        <x:v>1.333544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10-16</x:v>
      </x:c>
      <x:c r="M13" s="63" t="n">
        <x:f>MAX(E14/E13-1,0)</x:f>
        <x:v>0</x:v>
      </x:c>
      <x:c r="N13" s="63" t="n">
        <x:f>MIN(E14/E13-1,0)</x:f>
        <x:v>-0.017676207159268986</x:v>
      </x:c>
    </x:row>
    <x:row r="14" ht="28" customHeight="1">
      <x:c r="A14" s="60"/>
      <x:c r="B14" s="61"/>
      <x:c r="C14" s="1"/>
      <x:c r="D14" s="14" t="str">
        <x:v>10-16</x:v>
      </x:c>
      <x:c r="E14" s="62" t="n">
        <x:v>1.309972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10-17</x:v>
      </x:c>
      <x:c r="M14" s="63" t="n">
        <x:f>MAX(E15/E14-1,0)</x:f>
        <x:v>0</x:v>
      </x:c>
      <x:c r="N14" s="63" t="n">
        <x:f>MIN(E15/E14-1,0)</x:f>
        <x:v>-0.013219366520811016</x:v>
      </x:c>
    </x:row>
    <x:row r="15" ht="48" customHeight="1">
      <x:c r="A15" s="60"/>
      <x:c r="B15" s="61"/>
      <x:c r="C15" s="1"/>
      <x:c r="D15" s="14" t="str">
        <x:v>10-17</x:v>
      </x:c>
      <x:c r="E15" s="62" t="n">
        <x:v>1.292655</x:v>
      </x:c>
      <x:c r="F15" s="1"/>
      <x:c r="G15" s="1" t="str">
        <x:v>行情时间口径</x:v>
      </x:c>
      <x:c r="H15" s="36" t="str">
        <x:v>行情提供方更新时间 2026-10-20T02:05:51.000Z</x:v>
      </x:c>
      <x:c r="I15" s="1"/>
      <x:c r="J15" s="1"/>
      <x:c r="K15" s="1"/>
      <x:c r="L15" s="1" t="str">
        <x:f>D16</x:f>
        <x:v>10-18</x:v>
      </x:c>
      <x:c r="M15" s="63" t="n">
        <x:f>MAX(E16/E15-1,0)</x:f>
        <x:v>0.01006455705505327</x:v>
      </x:c>
      <x:c r="N15" s="63" t="n">
        <x:f>MIN(E16/E15-1,0)</x:f>
        <x:v>0</x:v>
      </x:c>
    </x:row>
    <x:row r="16" ht="28" customHeight="1">
      <x:c r="A16" s="60"/>
      <x:c r="B16" s="61"/>
      <x:c r="C16" s="1"/>
      <x:c r="D16" s="14" t="str">
        <x:v>10-18</x:v>
      </x:c>
      <x:c r="E16" s="62" t="n">
        <x:v>1.305665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10-19</x:v>
      </x:c>
      <x:c r="M16" s="63" t="n">
        <x:f>MAX(E17/E16-1,0)</x:f>
        <x:v>0</x:v>
      </x:c>
      <x:c r="N16" s="63" t="n">
        <x:f>MIN(E17/E16-1,0)</x:f>
        <x:v>-0.001962984379607402</x:v>
      </x:c>
    </x:row>
    <x:row r="17" ht="28" customHeight="1">
      <x:c r="A17" s="60"/>
      <x:c r="B17" s="61"/>
      <x:c r="C17" s="1"/>
      <x:c r="D17" s="14" t="str">
        <x:v>10-19</x:v>
      </x:c>
      <x:c r="E17" s="62" t="n">
        <x:v>1.303102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XRP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4" t="str">
        <x:v>最近完整交易日产品贡献 · 待披露 美东</x:v>
      </x:c>
      <x:c r="B21" s="64"/>
      <x:c r="C21" s="64"/>
      <x:c r="D21" s="64"/>
      <x:c r="E21" s="64"/>
      <x:c r="F21" s="64"/>
      <x:c r="G21" s="64"/>
      <x:c r="H21" s="64"/>
      <x:c r="I21" s="64"/>
      <x:c r="J21" s="64"/>
      <x:c r="K21" s="1"/>
      <x:c r="L21" s="1"/>
      <x:c r="M21" s="1"/>
      <x:c r="N21" s="1"/>
    </x:row>
    <x:row r="22" ht="28" customHeight="1">
      <x:c r="A22" s="65" t="str">
        <x:v>产品</x:v>
      </x:c>
      <x:c r="B22" s="65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7" t="str">
        <x:v>当前未取得可核验的产品资金流明细。</x:v>
      </x:c>
      <x:c r="B23" s="67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7"/>
      <x:c r="B24" s="67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7"/>
      <x:c r="B25" s="67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7"/>
      <x:c r="B26" s="67"/>
      <x:c r="C26" s="1"/>
      <x:c r="D26" s="68" t="str">
        <x:v>资金流未取得完整来源；空白并非零。</x:v>
      </x:c>
      <x:c r="E26" s="68"/>
      <x:c r="F26" s="68"/>
      <x:c r="G26" s="68"/>
      <x:c r="H26" s="68"/>
      <x:c r="I26" s="68"/>
      <x:c r="J26" s="68"/>
      <x:c r="K26" s="1"/>
      <x:c r="L26" s="1"/>
      <x:c r="M26" s="1"/>
      <x:c r="N26" s="1"/>
    </x:row>
    <x:row r="27" ht="28" customHeight="1">
      <x:c r="A27" s="1"/>
      <x:c r="B27" s="1"/>
      <x:c r="C27" s="1"/>
      <x:c r="D27" s="68"/>
      <x:c r="E27" s="68"/>
      <x:c r="F27" s="68"/>
      <x:c r="G27" s="68"/>
      <x:c r="H27" s="68"/>
      <x:c r="I27" s="68"/>
      <x:c r="J27" s="68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7"/>
      <x:c r="C4" s="14"/>
      <x:c r="D4" s="71"/>
      <x:c r="E4" s="36"/>
      <x:c r="F4" s="36"/>
      <x:c r="G4" s="1"/>
      <x:c r="H4" s="1"/>
    </x:row>
    <x:row r="5" ht="29" customHeight="1">
      <x:c r="A5" s="1"/>
      <x:c r="B5" s="57"/>
      <x:c r="C5" s="14"/>
      <x:c r="D5" s="71"/>
      <x:c r="E5" s="36"/>
      <x:c r="F5" s="36"/>
      <x:c r="G5" s="1"/>
      <x:c r="H5" s="1"/>
    </x:row>
    <x:row r="6" ht="29" customHeight="1">
      <x:c r="A6" s="1"/>
      <x:c r="B6" s="57"/>
      <x:c r="C6" s="14"/>
      <x:c r="D6" s="71"/>
      <x:c r="E6" s="36"/>
      <x:c r="F6" s="36"/>
      <x:c r="G6" s="1"/>
      <x:c r="H6" s="1"/>
    </x:row>
    <x:row r="7" ht="29" customHeight="1">
      <x:c r="A7" s="8" t="str">
        <x:v>重要动态</x:v>
      </x:c>
      <x:c r="B7" s="79" t="str">
        <x:v>事件日期</x:v>
      </x:c>
      <x:c r="C7" s="8" t="str">
        <x:v>发布日期</x:v>
      </x:c>
      <x:c r="D7" s="77" t="str">
        <x:v>核验状态</x:v>
      </x:c>
      <x:c r="E7" s="80" t="str">
        <x:v>摘要</x:v>
      </x:c>
      <x:c r="F7" s="80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7"/>
      <x:c r="C8" s="14"/>
      <x:c r="D8" s="71"/>
      <x:c r="E8" s="36"/>
      <x:c r="F8" s="36"/>
      <x:c r="G8" s="1"/>
      <x:c r="H8" s="1"/>
    </x:row>
    <x:row r="9" ht="29" customHeight="1">
      <x:c r="A9" s="36"/>
      <x:c r="B9" s="57"/>
      <x:c r="C9" s="14"/>
      <x:c r="D9" s="71"/>
      <x:c r="E9" s="36"/>
      <x:c r="F9" s="36"/>
      <x:c r="G9" s="1"/>
      <x:c r="H9" s="1"/>
    </x:row>
    <x:row r="10" ht="29" customHeight="1">
      <x:c r="A10" s="36"/>
      <x:c r="B10" s="57"/>
      <x:c r="C10" s="14"/>
      <x:c r="D10" s="71"/>
      <x:c r="E10" s="36"/>
      <x:c r="F10" s="36"/>
      <x:c r="G10" s="1"/>
      <x:c r="H10" s="1"/>
    </x:row>
    <x:row r="11" ht="29" customHeight="1">
      <x:c r="A11" s="85" t="str">
        <x:v>数据口径：链上活动是网络指标，不能等同于代币现金流；事件日期与文章发布日期分别记录。</x:v>
      </x:c>
      <x:c r="B11" s="86"/>
      <x:c r="C11" s="87"/>
      <x:c r="D11" s="88"/>
      <x:c r="E11" s="85"/>
      <x:c r="F11" s="85"/>
      <x:c r="G11" s="53"/>
      <x:c r="H11" s="53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9" t="str">
        <x:v>来源与产品范围核验</x:v>
      </x:c>
      <x:c r="B13" s="90"/>
      <x:c r="C13" s="90"/>
      <x:c r="D13" s="90"/>
      <x:c r="E13" s="89"/>
      <x:c r="F13" s="90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90" t="str">
        <x:v>缺失、延迟披露及最后有效日期</x:v>
      </x:c>
      <x:c r="B22" s="90"/>
      <x:c r="C22" s="90"/>
      <x:c r="D22" s="90"/>
      <x:c r="E22" s="90"/>
      <x:c r="F22" s="90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403；尚未解析到独立美元申赎数据；最后有效日期未知。XRP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