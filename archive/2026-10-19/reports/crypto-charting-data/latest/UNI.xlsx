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c45e1c860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周报" sheetId="1" r:id="Rd3c6a3d635094519"/>
    <x:sheet xmlns:r="http://schemas.openxmlformats.org/officeDocument/2006/relationships" name="持仓录入" sheetId="2" r:id="Ra997c5c769d94b5b"/>
    <x:sheet xmlns:r="http://schemas.openxmlformats.org/officeDocument/2006/relationships" name="行情与资金流" sheetId="3" r:id="Ra1bf82218613450e"/>
    <x:sheet xmlns:r="http://schemas.openxmlformats.org/officeDocument/2006/relationships" name="链上与动态" sheetId="4" r:id="R047aaa08b2814c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0.0%"/>
    <x:numFmt numFmtId="210" formatCode="yyyy-mm-dd hh:mm&quot; UTC&quot;"/>
    <x:numFmt numFmtId="211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6"/>
      <x:color rgb="FF11937E"/>
      <x:name val="Arial"/>
    </x:font>
    <x:font>
      <x:b/>
      <x:sz val="13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7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210" fontId="1" fillId="0" borderId="0" xfId="0" applyNumberFormat="1" applyFont="1" applyFill="1" applyBorder="1" applyAlignment="1">
      <x:alignment horizontal="center"/>
    </x:xf>
    <x:xf numFmtId="21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1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1" fontId="18" fillId="2" borderId="4" xfId="0" applyNumberFormat="1" applyFont="1" applyFill="1" applyBorder="1"/>
    <x:xf numFmtId="211" fontId="18" fillId="2" borderId="0" xfId="0" applyNumberFormat="1" applyFont="1" applyFill="1" applyBorder="1"/>
    <x:xf numFmtId="211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1" fontId="18" fillId="2" borderId="4" xfId="0" applyNumberFormat="1" applyFont="1" applyFill="1" applyBorder="1" applyAlignment="1">
      <x:alignment horizontal="center"/>
    </x:xf>
    <x:xf numFmtId="211" fontId="18" fillId="2" borderId="0" xfId="0" applyNumberFormat="1" applyFont="1" applyFill="1" applyBorder="1" applyAlignment="1">
      <x:alignment horizontal="center"/>
    </x:xf>
    <x:xf numFmtId="211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1" fontId="18" fillId="2" borderId="4" xfId="0" applyNumberFormat="1" applyFont="1" applyFill="1" applyBorder="1" applyAlignment="1">
      <x:alignment horizontal="center" vertical="center"/>
    </x:xf>
    <x:xf numFmtId="211" fontId="18" fillId="2" borderId="0" xfId="0" applyNumberFormat="1" applyFont="1" applyFill="1" applyBorder="1" applyAlignment="1">
      <x:alignment horizontal="center" vertical="center"/>
    </x:xf>
    <x:xf numFmtId="211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206" fontId="22" fillId="5" borderId="4" xfId="0" applyNumberFormat="1" applyFont="1" applyFill="1" applyBorder="1"/>
    <x:xf numFmtId="206" fontId="22" fillId="5" borderId="0" xfId="0" applyNumberFormat="1" applyFont="1" applyFill="1" applyBorder="1"/>
    <x:xf numFmtId="206" fontId="22" fillId="5" borderId="5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206" fontId="22" fillId="5" borderId="4" xfId="0" applyNumberFormat="1" applyFont="1" applyFill="1" applyBorder="1" applyAlignment="1">
      <x:alignment horizontal="center"/>
    </x:xf>
    <x:xf numFmtId="206" fontId="22" fillId="5" borderId="0" xfId="0" applyNumberFormat="1" applyFont="1" applyFill="1" applyBorder="1" applyAlignment="1">
      <x:alignment horizontal="center"/>
    </x:xf>
    <x:xf numFmtId="206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206" fontId="22" fillId="5" borderId="4" xfId="0" applyNumberFormat="1" applyFont="1" applyFill="1" applyBorder="1" applyAlignment="1">
      <x:alignment horizontal="center" vertical="center"/>
    </x:xf>
    <x:xf numFmtId="206" fontId="22" fillId="5" borderId="0" xfId="0" applyNumberFormat="1" applyFont="1" applyFill="1" applyBorder="1" applyAlignment="1">
      <x:alignment horizontal="center" vertical="center"/>
    </x:xf>
    <x:xf numFmtId="206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8" fontId="24" fillId="7" borderId="4" xfId="0" applyNumberFormat="1" applyFont="1" applyFill="1" applyBorder="1"/>
    <x:xf numFmtId="208" fontId="24" fillId="7" borderId="0" xfId="0" applyNumberFormat="1" applyFont="1" applyFill="1" applyBorder="1"/>
    <x:xf numFmtId="208" fontId="24" fillId="7" borderId="5" xfId="0" applyNumberFormat="1" applyFont="1" applyFill="1" applyBorder="1"/>
    <x:xf numFmtId="208" fontId="24" fillId="7" borderId="4" xfId="0" applyNumberFormat="1" applyFont="1" applyFill="1" applyBorder="1" applyAlignment="1">
      <x:alignment horizontal="center"/>
    </x:xf>
    <x:xf numFmtId="208" fontId="24" fillId="7" borderId="0" xfId="0" applyNumberFormat="1" applyFont="1" applyFill="1" applyBorder="1" applyAlignment="1">
      <x:alignment horizontal="center"/>
    </x:xf>
    <x:xf numFmtId="208" fontId="24" fillId="7" borderId="5" xfId="0" applyNumberFormat="1" applyFont="1" applyFill="1" applyBorder="1" applyAlignment="1">
      <x:alignment horizontal="center"/>
    </x:xf>
    <x:xf numFmtId="208" fontId="24" fillId="7" borderId="4" xfId="0" applyNumberFormat="1" applyFont="1" applyFill="1" applyBorder="1" applyAlignment="1">
      <x:alignment horizontal="center" vertical="center"/>
    </x:xf>
    <x:xf numFmtId="208" fontId="24" fillId="7" borderId="0" xfId="0" applyNumberFormat="1" applyFont="1" applyFill="1" applyBorder="1" applyAlignment="1">
      <x:alignment horizontal="center" vertical="center"/>
    </x:xf>
    <x:xf numFmtId="208" fontId="24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8" fontId="24" fillId="8" borderId="4" xfId="0" applyNumberFormat="1" applyFont="1" applyFill="1" applyBorder="1"/>
    <x:xf numFmtId="208" fontId="24" fillId="8" borderId="0" xfId="0" applyNumberFormat="1" applyFont="1" applyFill="1" applyBorder="1"/>
    <x:xf numFmtId="208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8" fontId="24" fillId="8" borderId="4" xfId="0" applyNumberFormat="1" applyFont="1" applyFill="1" applyBorder="1" applyAlignment="1">
      <x:alignment horizontal="center"/>
    </x:xf>
    <x:xf numFmtId="208" fontId="24" fillId="8" borderId="0" xfId="0" applyNumberFormat="1" applyFont="1" applyFill="1" applyBorder="1" applyAlignment="1">
      <x:alignment horizontal="center"/>
    </x:xf>
    <x:xf numFmtId="208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8" fontId="24" fillId="8" borderId="4" xfId="0" applyNumberFormat="1" applyFont="1" applyFill="1" applyBorder="1" applyAlignment="1">
      <x:alignment horizontal="center" vertical="center"/>
    </x:xf>
    <x:xf numFmtId="208" fontId="24" fillId="8" borderId="0" xfId="0" applyNumberFormat="1" applyFont="1" applyFill="1" applyBorder="1" applyAlignment="1">
      <x:alignment horizontal="center" vertical="center"/>
    </x:xf>
    <x:xf numFmtId="208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8" fontId="1" fillId="7" borderId="0" xfId="0" applyNumberFormat="1" applyFont="1" applyFill="1" applyBorder="1"/>
    <x:xf numFmtId="208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1" fillId="7" borderId="4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8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1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208" fontId="1" fillId="4" borderId="0" xfId="0" applyNumberFormat="1" applyFont="1" applyFill="1" applyBorder="1"/>
    <x:xf numFmtId="208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1" fillId="4" borderId="4" xfId="0" applyNumberFormat="1" applyFont="1" applyFill="1" applyBorder="1" applyAlignment="1">
      <x:alignment horizontal="center"/>
    </x:xf>
    <x:xf numFmtId="208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1" fillId="4" borderId="5" xfId="0" applyNumberFormat="1" applyFont="1" applyFill="1" applyBorder="1" applyAlignment="1">
      <x:alignment horizontal="center"/>
    </x:xf>
    <x:xf numFmtId="208" fontId="1" fillId="7" borderId="7" xfId="0" applyNumberFormat="1" applyFont="1" applyFill="1" applyBorder="1"/>
    <x:xf numFmtId="208" fontId="27" fillId="7" borderId="7" xfId="0" applyNumberFormat="1" applyFont="1" applyFill="1" applyBorder="1"/>
    <x:xf numFmtId="0" fontId="27" fillId="7" borderId="7" xfId="0" applyNumberFormat="1" applyFont="1" applyFill="1" applyBorder="1"/>
    <x:xf numFmtId="0" fontId="1" fillId="7" borderId="6" xfId="0" applyNumberFormat="1" applyFont="1" applyFill="1" applyBorder="1" applyAlignment="1">
      <x:alignment horizontal="center"/>
    </x:xf>
    <x:xf numFmtId="0" fontId="1" fillId="7" borderId="7" xfId="0" applyNumberFormat="1" applyFont="1" applyFill="1" applyBorder="1" applyAlignment="1">
      <x:alignment horizontal="center"/>
    </x:xf>
    <x:xf numFmtId="208" fontId="27" fillId="7" borderId="7" xfId="0" applyNumberFormat="1" applyFont="1" applyFill="1" applyBorder="1" applyAlignment="1">
      <x:alignment horizontal="center"/>
    </x:xf>
    <x:xf numFmtId="0" fontId="27" fillId="7" borderId="7" xfId="0" applyNumberFormat="1" applyFont="1" applyFill="1" applyBorder="1" applyAlignment="1">
      <x:alignment horizontal="center"/>
    </x:xf>
    <x:xf numFmtId="0" fontId="1" fillId="7" borderId="8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ac4ec84624470" /><Relationship Type="http://schemas.openxmlformats.org/officeDocument/2006/relationships/theme" Target="/xl/theme/theme1.xml" Id="Rf16eba1b02834d17" /><Relationship Type="http://schemas.openxmlformats.org/officeDocument/2006/relationships/sharedStrings" Target="/xl/sharedStrings.xml" Id="Rab0a8ef4ace2440d" /><Relationship Type="http://schemas.openxmlformats.org/officeDocument/2006/relationships/worksheet" Target="/xl/worksheets/sheet1.xml" Id="Rd3c6a3d635094519" /><Relationship Type="http://schemas.openxmlformats.org/officeDocument/2006/relationships/worksheet" Target="/xl/worksheets/sheet2.xml" Id="Ra997c5c769d94b5b" /><Relationship Type="http://schemas.openxmlformats.org/officeDocument/2006/relationships/worksheet" Target="/xl/worksheets/sheet3.xml" Id="Ra1bf82218613450e" /><Relationship Type="http://schemas.openxmlformats.org/officeDocument/2006/relationships/worksheet" Target="/xl/worksheets/sheet4.xml" Id="R047aaa08b2814c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7dcf247ea34002" /><Relationship Type="http://schemas.openxmlformats.org/officeDocument/2006/relationships/chart" Target="/xl/drawings/charts/chart2.xml" Id="R85443a96275541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UNI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UNI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7dcf247ea34002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443a96275541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9023fc56314fae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7" t="str">
        <x:v>  CRYPTO CHARTING  /  WEEKLY INTELLIGENCE</x:v>
      </x:c>
      <x:c r="B2" s="77"/>
      <x:c r="C2" s="77"/>
      <x:c r="D2" s="77"/>
      <x:c r="E2" s="77"/>
      <x:c r="F2" s="77"/>
      <x:c r="G2" s="77"/>
      <x:c r="H2" s="77"/>
      <x:c r="I2" s="77"/>
      <x:c r="J2" s="78" t="str">
        <x:v>2026.10.19</x:v>
      </x:c>
      <x:c r="K2" s="78"/>
      <x:c r="L2" s="2"/>
      <x:c r="M2" s="2"/>
      <x:c r="N2" s="2"/>
      <x:c r="O2" s="2"/>
      <x:c r="P2" s="2"/>
      <x:c r="Q2" s="2"/>
      <x:c r="R2" s="2"/>
    </x:row>
    <x:row r="3" ht="27" customHeight="1">
      <x:c r="A3" s="79" t="str">
        <x:v>  UNI 周度总览</x:v>
      </x:c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2"/>
      <x:c r="M3" s="2"/>
      <x:c r="N3" s="2"/>
      <x:c r="O3" s="2"/>
      <x:c r="P3" s="2"/>
      <x:c r="Q3" s="2"/>
      <x:c r="R3" s="2"/>
    </x:row>
    <x:row r="4" ht="27" customHeight="1">
      <x:c r="A4" s="79"/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2"/>
      <x:c r="M4" s="2"/>
      <x:c r="N4" s="2"/>
      <x:c r="O4" s="2"/>
      <x:c r="P4" s="2"/>
      <x:c r="Q4" s="2"/>
      <x:c r="R4" s="2"/>
    </x:row>
    <x:row r="5" ht="27" customHeight="1">
      <x:c r="A5" s="80" t="str">
        <x:v>  完整 UTC 日 2026-10-12—2026-10-18 · 行情观察 11:58 北京时间  ·  未确认美国现货 ETF 产品</x:v>
      </x:c>
      <x:c r="B5" s="80"/>
      <x:c r="C5" s="80"/>
      <x:c r="D5" s="80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1" t="str">
        <x:v>  尚未确认符合美国现货 ETF 口径的 UNI 产品；ETF 持仓和资金流不适用，见来源及范围说明。</x:v>
      </x:c>
      <x:c r="B7" s="81"/>
      <x:c r="C7" s="8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</x:row>
    <x:row r="8" ht="23" customHeight="1">
      <x:c r="A8" s="117" t="str">
        <x:v>现价</x:v>
      </x:c>
      <x:c r="B8" s="118"/>
      <x:c r="C8" s="119"/>
      <x:c r="D8" s="165" t="str">
        <x:v>24h 涨跌</x:v>
      </x:c>
      <x:c r="E8" s="166"/>
      <x:c r="F8" s="167"/>
      <x:c r="G8" s="165" t="str">
        <x:v>7d 涨跌</x:v>
      </x:c>
      <x:c r="H8" s="166"/>
      <x:c r="I8" s="167"/>
      <x:c r="J8" s="165" t="str">
        <x:v>24h 成交额</x:v>
      </x:c>
      <x:c r="K8" s="166"/>
      <x:c r="L8" s="167"/>
      <x:c r="M8" s="165" t="str">
        <x:v>流通市值</x:v>
      </x:c>
      <x:c r="N8" s="166"/>
      <x:c r="O8" s="167"/>
      <x:c r="P8" s="165" t="str">
        <x:v>UNI 流通量</x:v>
      </x:c>
      <x:c r="Q8" s="166"/>
      <x:c r="R8" s="167"/>
    </x:row>
    <x:row r="9" ht="23" customHeight="1">
      <x:c r="A9" s="120"/>
      <x:c r="B9" s="121"/>
      <x:c r="C9" s="122"/>
      <x:c r="D9" s="168"/>
      <x:c r="E9" s="169"/>
      <x:c r="F9" s="170"/>
      <x:c r="G9" s="168"/>
      <x:c r="H9" s="169"/>
      <x:c r="I9" s="170"/>
      <x:c r="J9" s="168"/>
      <x:c r="K9" s="169"/>
      <x:c r="L9" s="170"/>
      <x:c r="M9" s="168"/>
      <x:c r="N9" s="169"/>
      <x:c r="O9" s="170"/>
      <x:c r="P9" s="168"/>
      <x:c r="Q9" s="169"/>
      <x:c r="R9" s="170"/>
    </x:row>
    <x:row r="10" ht="23" customHeight="1">
      <x:c r="A10" s="123" t="n">
        <x:f>'行情与资金流'!B4</x:f>
        <x:v>7.29</x:v>
      </x:c>
      <x:c r="B10" s="124"/>
      <x:c r="C10" s="125"/>
      <x:c r="D10" s="171" t="n">
        <x:f>'行情与资金流'!B5</x:f>
        <x:v>-0.0000484</x:v>
      </x:c>
      <x:c r="E10" s="172"/>
      <x:c r="F10" s="173"/>
      <x:c r="G10" s="171" t="n">
        <x:f>'行情与资金流'!B8</x:f>
        <x:v>-0.050643</x:v>
      </x:c>
      <x:c r="H10" s="172"/>
      <x:c r="I10" s="173"/>
      <x:c r="J10" s="186" t="n">
        <x:f>'行情与资金流'!B6</x:f>
        <x:v>369966843</x:v>
      </x:c>
      <x:c r="K10" s="187"/>
      <x:c r="L10" s="188"/>
      <x:c r="M10" s="186" t="n">
        <x:f>'行情与资金流'!B7</x:f>
        <x:v>4554800972</x:v>
      </x:c>
      <x:c r="N10" s="187"/>
      <x:c r="O10" s="188"/>
      <x:c r="P10" s="198" t="n">
        <x:f>'行情与资金流'!B9</x:f>
        <x:v>624740422.4808736</x:v>
      </x:c>
      <x:c r="Q10" s="199"/>
      <x:c r="R10" s="200"/>
    </x:row>
    <x:row r="11" ht="23" customHeight="1">
      <x:c r="A11" s="123"/>
      <x:c r="B11" s="124"/>
      <x:c r="C11" s="125"/>
      <x:c r="D11" s="171"/>
      <x:c r="E11" s="172"/>
      <x:c r="F11" s="173"/>
      <x:c r="G11" s="171"/>
      <x:c r="H11" s="172"/>
      <x:c r="I11" s="173"/>
      <x:c r="J11" s="186"/>
      <x:c r="K11" s="187"/>
      <x:c r="L11" s="188"/>
      <x:c r="M11" s="186"/>
      <x:c r="N11" s="187"/>
      <x:c r="O11" s="188"/>
      <x:c r="P11" s="198"/>
      <x:c r="Q11" s="199"/>
      <x:c r="R11" s="200"/>
    </x:row>
    <x:row r="12" ht="23" customHeight="1">
      <x:c r="A12" s="123"/>
      <x:c r="B12" s="124"/>
      <x:c r="C12" s="125"/>
      <x:c r="D12" s="171"/>
      <x:c r="E12" s="172"/>
      <x:c r="F12" s="173"/>
      <x:c r="G12" s="171"/>
      <x:c r="H12" s="172"/>
      <x:c r="I12" s="173"/>
      <x:c r="J12" s="186"/>
      <x:c r="K12" s="187"/>
      <x:c r="L12" s="188"/>
      <x:c r="M12" s="186"/>
      <x:c r="N12" s="187"/>
      <x:c r="O12" s="188"/>
      <x:c r="P12" s="198"/>
      <x:c r="Q12" s="199"/>
      <x:c r="R12" s="200"/>
    </x:row>
    <x:row r="13" ht="23" customHeight="1">
      <x:c r="A13" s="126" t="str">
        <x:v>USD / UNI</x:v>
      </x:c>
      <x:c r="B13" s="127"/>
      <x:c r="C13" s="128"/>
      <x:c r="D13" s="174" t="str">
        <x:v>滚动 24 小时</x:v>
      </x:c>
      <x:c r="E13" s="175"/>
      <x:c r="F13" s="176"/>
      <x:c r="G13" s="174" t="str">
        <x:v>滚动 7 天</x:v>
      </x:c>
      <x:c r="H13" s="175"/>
      <x:c r="I13" s="176"/>
      <x:c r="J13" s="174" t="str">
        <x:v>USD · 全市场</x:v>
      </x:c>
      <x:c r="K13" s="175"/>
      <x:c r="L13" s="176"/>
      <x:c r="M13" s="174" t="str">
        <x:v>USD</x:v>
      </x:c>
      <x:c r="N13" s="175"/>
      <x:c r="O13" s="176"/>
      <x:c r="P13" s="174" t="str">
        <x:v>UNI · CoinGecko</x:v>
      </x:c>
      <x:c r="Q13" s="175"/>
      <x:c r="R13" s="176"/>
    </x:row>
    <x:row r="14" ht="23" customHeight="1">
      <x:c r="A14" s="236" t="str">
        <x:v>协议 TVL 周变化</x:v>
      </x:c>
      <x:c r="B14" s="237"/>
      <x:c r="C14" s="238"/>
      <x:c r="D14" s="165" t="str">
        <x:v>协议 DEX 7d</x:v>
      </x:c>
      <x:c r="E14" s="166"/>
      <x:c r="F14" s="167"/>
      <x:c r="G14" s="296" t="str">
        <x:v>协议费用 7d</x:v>
      </x:c>
      <x:c r="H14" s="297"/>
      <x:c r="I14" s="298"/>
      <x:c r="J14" s="165" t="str">
        <x:v>协议收入 7d</x:v>
      </x:c>
      <x:c r="K14" s="166"/>
      <x:c r="L14" s="167"/>
      <x:c r="M14" s="165" t="str">
        <x:v>协议 TVL</x:v>
      </x:c>
      <x:c r="N14" s="166"/>
      <x:c r="O14" s="167"/>
      <x:c r="P14" s="165" t="str">
        <x:v>协议 DEX 24h</x:v>
      </x:c>
      <x:c r="Q14" s="166"/>
      <x:c r="R14" s="167"/>
    </x:row>
    <x:row r="15" ht="23" customHeight="1">
      <x:c r="A15" s="239"/>
      <x:c r="B15" s="240"/>
      <x:c r="C15" s="241"/>
      <x:c r="D15" s="168"/>
      <x:c r="E15" s="169"/>
      <x:c r="F15" s="170"/>
      <x:c r="G15" s="299"/>
      <x:c r="H15" s="300"/>
      <x:c r="I15" s="301"/>
      <x:c r="J15" s="168"/>
      <x:c r="K15" s="169"/>
      <x:c r="L15" s="170"/>
      <x:c r="M15" s="168"/>
      <x:c r="N15" s="169"/>
      <x:c r="O15" s="170"/>
      <x:c r="P15" s="168"/>
      <x:c r="Q15" s="169"/>
      <x:c r="R15" s="170"/>
    </x:row>
    <x:row r="16" ht="23" customHeight="1">
      <x:c r="A16" s="242" t="str">
        <x:v>基准不足</x:v>
      </x:c>
      <x:c r="B16" s="243"/>
      <x:c r="C16" s="244"/>
      <x:c r="D16" s="257" t="n">
        <x:f>'链上与动态'!B6</x:f>
        <x:v>15601000000</x:v>
      </x:c>
      <x:c r="E16" s="258"/>
      <x:c r="F16" s="259"/>
      <x:c r="G16" s="302" t="n">
        <x:f>'链上与动态'!B7</x:f>
        <x:v>19200000</x:v>
      </x:c>
      <x:c r="H16" s="303"/>
      <x:c r="I16" s="304"/>
      <x:c r="J16" s="257" t="n">
        <x:f>'链上与动态'!B8</x:f>
        <x:v>1830000</x:v>
      </x:c>
      <x:c r="K16" s="258"/>
      <x:c r="L16" s="259"/>
      <x:c r="M16" s="257" t="n">
        <x:f>'链上与动态'!B4</x:f>
        <x:v>3872000000</x:v>
      </x:c>
      <x:c r="N16" s="258"/>
      <x:c r="O16" s="259"/>
      <x:c r="P16" s="257" t="n">
        <x:f>'链上与动态'!B5</x:f>
        <x:v>1730000000</x:v>
      </x:c>
      <x:c r="Q16" s="258"/>
      <x:c r="R16" s="259"/>
    </x:row>
    <x:row r="17" ht="23" customHeight="1">
      <x:c r="A17" s="242"/>
      <x:c r="B17" s="243"/>
      <x:c r="C17" s="244"/>
      <x:c r="D17" s="257"/>
      <x:c r="E17" s="258"/>
      <x:c r="F17" s="259"/>
      <x:c r="G17" s="302"/>
      <x:c r="H17" s="303"/>
      <x:c r="I17" s="304"/>
      <x:c r="J17" s="257"/>
      <x:c r="K17" s="258"/>
      <x:c r="L17" s="259"/>
      <x:c r="M17" s="257"/>
      <x:c r="N17" s="258"/>
      <x:c r="O17" s="259"/>
      <x:c r="P17" s="257"/>
      <x:c r="Q17" s="258"/>
      <x:c r="R17" s="259"/>
    </x:row>
    <x:row r="18" ht="23" customHeight="1">
      <x:c r="A18" s="242"/>
      <x:c r="B18" s="243"/>
      <x:c r="C18" s="244"/>
      <x:c r="D18" s="257"/>
      <x:c r="E18" s="258"/>
      <x:c r="F18" s="259"/>
      <x:c r="G18" s="302"/>
      <x:c r="H18" s="303"/>
      <x:c r="I18" s="304"/>
      <x:c r="J18" s="257"/>
      <x:c r="K18" s="258"/>
      <x:c r="L18" s="259"/>
      <x:c r="M18" s="257"/>
      <x:c r="N18" s="258"/>
      <x:c r="O18" s="259"/>
      <x:c r="P18" s="257"/>
      <x:c r="Q18" s="258"/>
      <x:c r="R18" s="259"/>
    </x:row>
    <x:row r="19" ht="23" customHeight="1">
      <x:c r="A19" s="245" t="str">
        <x:v>7天同口径观察</x:v>
      </x:c>
      <x:c r="B19" s="246"/>
      <x:c r="C19" s="247"/>
      <x:c r="D19" s="174" t="str">
        <x:v>USD · 协议约值</x:v>
      </x:c>
      <x:c r="E19" s="175"/>
      <x:c r="F19" s="176"/>
      <x:c r="G19" s="305" t="str">
        <x:v>USD · 非代币收入</x:v>
      </x:c>
      <x:c r="H19" s="306"/>
      <x:c r="I19" s="307"/>
      <x:c r="J19" s="174" t="str">
        <x:v>USD · 非代币收入</x:v>
      </x:c>
      <x:c r="K19" s="175"/>
      <x:c r="L19" s="176"/>
      <x:c r="M19" s="174" t="str">
        <x:v>USD · 协议约值</x:v>
      </x:c>
      <x:c r="N19" s="175"/>
      <x:c r="O19" s="176"/>
      <x:c r="P19" s="174" t="str">
        <x:v>USD · 协议约值</x:v>
      </x:c>
      <x:c r="Q19" s="175"/>
      <x:c r="R19" s="17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1" t="str">
        <x:v>  近7个完整 UTC 日收盘价</x:v>
      </x:c>
      <x:c r="B21" s="312"/>
      <x:c r="C21" s="312"/>
      <x:c r="D21" s="312"/>
      <x:c r="E21" s="312"/>
      <x:c r="F21" s="313"/>
      <x:c r="G21" s="311" t="str">
        <x:v>  逐日收盘变动</x:v>
      </x:c>
      <x:c r="H21" s="312"/>
      <x:c r="I21" s="312"/>
      <x:c r="J21" s="312"/>
      <x:c r="K21" s="312"/>
      <x:c r="L21" s="313"/>
      <x:c r="M21" s="311" t="str">
        <x:v>  ETF 适用范围与协议数据</x:v>
      </x:c>
      <x:c r="N21" s="312"/>
      <x:c r="O21" s="312"/>
      <x:c r="P21" s="312"/>
      <x:c r="Q21" s="312"/>
      <x:c r="R21" s="313"/>
    </x:row>
    <x:row r="22" ht="23" customHeight="1">
      <x:c r="A22" s="133"/>
      <x:c r="B22" s="129"/>
      <x:c r="C22" s="129"/>
      <x:c r="D22" s="129"/>
      <x:c r="E22" s="129"/>
      <x:c r="F22" s="134"/>
      <x:c r="G22" s="133"/>
      <x:c r="H22" s="129"/>
      <x:c r="I22" s="129"/>
      <x:c r="J22" s="129"/>
      <x:c r="K22" s="129"/>
      <x:c r="L22" s="134"/>
      <x:c r="M22" s="133"/>
      <x:c r="N22" s="129"/>
      <x:c r="O22" s="129"/>
      <x:c r="P22" s="129"/>
      <x:c r="Q22" s="129"/>
      <x:c r="R22" s="134"/>
    </x:row>
    <x:row r="23" ht="23" customHeight="1">
      <x:c r="A23" s="133"/>
      <x:c r="B23" s="129"/>
      <x:c r="C23" s="129"/>
      <x:c r="D23" s="129"/>
      <x:c r="E23" s="129"/>
      <x:c r="F23" s="134"/>
      <x:c r="G23" s="133"/>
      <x:c r="H23" s="129"/>
      <x:c r="I23" s="129"/>
      <x:c r="J23" s="129"/>
      <x:c r="K23" s="129"/>
      <x:c r="L23" s="134"/>
      <x:c r="M23" s="317" t="str">
        <x:v>无已确认合格 ETF 产品</x:v>
      </x:c>
      <x:c r="N23" s="318"/>
      <x:c r="O23" s="318"/>
      <x:c r="P23" s="318"/>
      <x:c r="Q23" s="318"/>
      <x:c r="R23" s="319"/>
    </x:row>
    <x:row r="24" ht="23" customHeight="1">
      <x:c r="A24" s="133"/>
      <x:c r="B24" s="129"/>
      <x:c r="C24" s="129"/>
      <x:c r="D24" s="129"/>
      <x:c r="E24" s="129"/>
      <x:c r="F24" s="134"/>
      <x:c r="G24" s="133"/>
      <x:c r="H24" s="129"/>
      <x:c r="I24" s="129"/>
      <x:c r="J24" s="129"/>
      <x:c r="K24" s="129"/>
      <x:c r="L24" s="134"/>
      <x:c r="M24" s="317"/>
      <x:c r="N24" s="318"/>
      <x:c r="O24" s="318"/>
      <x:c r="P24" s="318"/>
      <x:c r="Q24" s="318"/>
      <x:c r="R24" s="319"/>
    </x:row>
    <x:row r="25" ht="23" customHeight="1">
      <x:c r="A25" s="133"/>
      <x:c r="B25" s="129"/>
      <x:c r="C25" s="129"/>
      <x:c r="D25" s="129"/>
      <x:c r="E25" s="129"/>
      <x:c r="F25" s="134"/>
      <x:c r="G25" s="133"/>
      <x:c r="H25" s="129"/>
      <x:c r="I25" s="129"/>
      <x:c r="J25" s="129"/>
      <x:c r="K25" s="129"/>
      <x:c r="L25" s="134"/>
      <x:c r="M25" s="133"/>
      <x:c r="N25" s="129"/>
      <x:c r="O25" s="129"/>
      <x:c r="P25" s="129"/>
      <x:c r="Q25" s="129"/>
      <x:c r="R25" s="134"/>
    </x:row>
    <x:row r="26" ht="23" customHeight="1">
      <x:c r="A26" s="133"/>
      <x:c r="B26" s="129"/>
      <x:c r="C26" s="129"/>
      <x:c r="D26" s="129"/>
      <x:c r="E26" s="129"/>
      <x:c r="F26" s="134"/>
      <x:c r="G26" s="133"/>
      <x:c r="H26" s="129"/>
      <x:c r="I26" s="129"/>
      <x:c r="J26" s="129"/>
      <x:c r="K26" s="129"/>
      <x:c r="L26" s="134"/>
      <x:c r="M26" s="317" t="str">
        <x:v>美国现货产品：未确认</x:v>
      </x:c>
      <x:c r="N26" s="318"/>
      <x:c r="O26" s="318"/>
      <x:c r="P26" s="318"/>
      <x:c r="Q26" s="318"/>
      <x:c r="R26" s="319"/>
    </x:row>
    <x:row r="27" ht="23" customHeight="1">
      <x:c r="A27" s="133"/>
      <x:c r="B27" s="129"/>
      <x:c r="C27" s="129"/>
      <x:c r="D27" s="129"/>
      <x:c r="E27" s="129"/>
      <x:c r="F27" s="134"/>
      <x:c r="G27" s="133"/>
      <x:c r="H27" s="129"/>
      <x:c r="I27" s="129"/>
      <x:c r="J27" s="129"/>
      <x:c r="K27" s="129"/>
      <x:c r="L27" s="134"/>
      <x:c r="M27" s="317"/>
      <x:c r="N27" s="318"/>
      <x:c r="O27" s="318"/>
      <x:c r="P27" s="318"/>
      <x:c r="Q27" s="318"/>
      <x:c r="R27" s="319"/>
    </x:row>
    <x:row r="28" ht="23" customHeight="1">
      <x:c r="A28" s="133"/>
      <x:c r="B28" s="129"/>
      <x:c r="C28" s="129"/>
      <x:c r="D28" s="129"/>
      <x:c r="E28" s="129"/>
      <x:c r="F28" s="134"/>
      <x:c r="G28" s="133"/>
      <x:c r="H28" s="129"/>
      <x:c r="I28" s="129"/>
      <x:c r="J28" s="129"/>
      <x:c r="K28" s="129"/>
      <x:c r="L28" s="134"/>
      <x:c r="M28" s="133"/>
      <x:c r="N28" s="129"/>
      <x:c r="O28" s="129"/>
      <x:c r="P28" s="129"/>
      <x:c r="Q28" s="129"/>
      <x:c r="R28" s="134"/>
    </x:row>
    <x:row r="29" ht="23" customHeight="1">
      <x:c r="A29" s="133"/>
      <x:c r="B29" s="129"/>
      <x:c r="C29" s="129"/>
      <x:c r="D29" s="129"/>
      <x:c r="E29" s="129"/>
      <x:c r="F29" s="134"/>
      <x:c r="G29" s="133"/>
      <x:c r="H29" s="129"/>
      <x:c r="I29" s="129"/>
      <x:c r="J29" s="129"/>
      <x:c r="K29" s="129"/>
      <x:c r="L29" s="134"/>
      <x:c r="M29" s="133"/>
      <x:c r="N29" s="129"/>
      <x:c r="O29" s="129"/>
      <x:c r="P29" s="129"/>
      <x:c r="Q29" s="129"/>
      <x:c r="R29" s="134"/>
    </x:row>
    <x:row r="30" ht="23" customHeight="1">
      <x:c r="A30" s="133"/>
      <x:c r="B30" s="129"/>
      <x:c r="C30" s="129"/>
      <x:c r="D30" s="129"/>
      <x:c r="E30" s="129"/>
      <x:c r="F30" s="134"/>
      <x:c r="G30" s="133"/>
      <x:c r="H30" s="129"/>
      <x:c r="I30" s="129"/>
      <x:c r="J30" s="129"/>
      <x:c r="K30" s="129"/>
      <x:c r="L30" s="134"/>
      <x:c r="M30" s="326" t="str">
        <x:v>协议 DEX 7d</x:v>
      </x:c>
      <x:c r="N30" s="327"/>
      <x:c r="O30" s="327"/>
      <x:c r="P30" s="328" t="n">
        <x:f>'链上与动态'!B6</x:f>
        <x:v>15601000000</x:v>
      </x:c>
      <x:c r="Q30" s="328"/>
      <x:c r="R30" s="329"/>
    </x:row>
    <x:row r="31" ht="23" customHeight="1">
      <x:c r="A31" s="133"/>
      <x:c r="B31" s="129"/>
      <x:c r="C31" s="129"/>
      <x:c r="D31" s="129"/>
      <x:c r="E31" s="129"/>
      <x:c r="F31" s="134"/>
      <x:c r="G31" s="133"/>
      <x:c r="H31" s="129"/>
      <x:c r="I31" s="129"/>
      <x:c r="J31" s="129"/>
      <x:c r="K31" s="129"/>
      <x:c r="L31" s="134"/>
      <x:c r="M31" s="330"/>
      <x:c r="N31" s="331"/>
      <x:c r="O31" s="331"/>
      <x:c r="P31" s="328"/>
      <x:c r="Q31" s="328"/>
      <x:c r="R31" s="329"/>
    </x:row>
    <x:row r="32" ht="23" customHeight="1">
      <x:c r="A32" s="133"/>
      <x:c r="B32" s="129"/>
      <x:c r="C32" s="129"/>
      <x:c r="D32" s="129"/>
      <x:c r="E32" s="129"/>
      <x:c r="F32" s="134"/>
      <x:c r="G32" s="133"/>
      <x:c r="H32" s="129"/>
      <x:c r="I32" s="129"/>
      <x:c r="J32" s="129"/>
      <x:c r="K32" s="129"/>
      <x:c r="L32" s="134"/>
      <x:c r="M32" s="264"/>
      <x:c r="N32" s="260"/>
      <x:c r="O32" s="260"/>
      <x:c r="P32" s="260"/>
      <x:c r="Q32" s="260"/>
      <x:c r="R32" s="265"/>
    </x:row>
    <x:row r="33" ht="23" customHeight="1">
      <x:c r="A33" s="133"/>
      <x:c r="B33" s="129"/>
      <x:c r="C33" s="129"/>
      <x:c r="D33" s="129"/>
      <x:c r="E33" s="129"/>
      <x:c r="F33" s="134"/>
      <x:c r="G33" s="133"/>
      <x:c r="H33" s="129"/>
      <x:c r="I33" s="129"/>
      <x:c r="J33" s="129"/>
      <x:c r="K33" s="129"/>
      <x:c r="L33" s="134"/>
      <x:c r="M33" s="335" t="str">
        <x:v>协议费用及收入不等于 UNI 持有人收入</x:v>
      </x:c>
      <x:c r="N33" s="336"/>
      <x:c r="O33" s="336"/>
      <x:c r="P33" s="336"/>
      <x:c r="Q33" s="336"/>
      <x:c r="R33" s="337"/>
    </x:row>
    <x:row r="34" ht="23" customHeight="1">
      <x:c r="A34" s="135"/>
      <x:c r="B34" s="136"/>
      <x:c r="C34" s="136"/>
      <x:c r="D34" s="136"/>
      <x:c r="E34" s="136"/>
      <x:c r="F34" s="137"/>
      <x:c r="G34" s="135"/>
      <x:c r="H34" s="136"/>
      <x:c r="I34" s="136"/>
      <x:c r="J34" s="136"/>
      <x:c r="K34" s="136"/>
      <x:c r="L34" s="137"/>
      <x:c r="M34" s="162"/>
      <x:c r="N34" s="163"/>
      <x:c r="O34" s="163"/>
      <x:c r="P34" s="163"/>
      <x:c r="Q34" s="163"/>
      <x:c r="R34" s="16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1" t="str">
        <x:v>  Uniswap 协议周度数据  ·  多链口径  ·  与 UNI 代币收益分开</x:v>
      </x:c>
      <x:c r="B36" s="312"/>
      <x:c r="C36" s="312"/>
      <x:c r="D36" s="312"/>
      <x:c r="E36" s="312"/>
      <x:c r="F36" s="312"/>
      <x:c r="G36" s="312"/>
      <x:c r="H36" s="312"/>
      <x:c r="I36" s="312"/>
      <x:c r="J36" s="312"/>
      <x:c r="K36" s="312"/>
      <x:c r="L36" s="312"/>
      <x:c r="M36" s="312"/>
      <x:c r="N36" s="312"/>
      <x:c r="O36" s="312"/>
      <x:c r="P36" s="312"/>
      <x:c r="Q36" s="312"/>
      <x:c r="R36" s="313"/>
    </x:row>
    <x:row r="37" ht="23" customHeight="1">
      <x:c r="A37" s="342" t="str">
        <x:v>指标</x:v>
      </x:c>
      <x:c r="B37" s="8"/>
      <x:c r="C37" s="8"/>
      <x:c r="D37" s="8"/>
      <x:c r="E37" s="8"/>
      <x:c r="F37" s="8"/>
      <x:c r="G37" s="8" t="str">
        <x:v>数值</x:v>
      </x:c>
      <x:c r="H37" s="8"/>
      <x:c r="I37" s="8"/>
      <x:c r="J37" s="8"/>
      <x:c r="K37" s="8" t="str">
        <x:v>单位</x:v>
      </x:c>
      <x:c r="L37" s="8"/>
      <x:c r="M37" s="8" t="str">
        <x:v>观察时间</x:v>
      </x:c>
      <x:c r="N37" s="8"/>
      <x:c r="O37" s="8"/>
      <x:c r="P37" s="8" t="str">
        <x:v>口径</x:v>
      </x:c>
      <x:c r="Q37" s="8"/>
      <x:c r="R37" s="343"/>
    </x:row>
    <x:row r="38" ht="30" customHeight="1">
      <x:c r="A38" s="347" t="str">
        <x:v>协议 TVL</x:v>
      </x:c>
      <x:c r="B38" s="348"/>
      <x:c r="C38" s="348"/>
      <x:c r="D38" s="348"/>
      <x:c r="E38" s="348"/>
      <x:c r="F38" s="348"/>
      <x:c r="G38" s="349" t="n">
        <x:f>'链上与动态'!B4</x:f>
        <x:v>3872000000</x:v>
      </x:c>
      <x:c r="H38" s="350"/>
      <x:c r="I38" s="350"/>
      <x:c r="J38" s="350"/>
      <x:c r="K38" s="348" t="str">
        <x:v>USD</x:v>
      </x:c>
      <x:c r="L38" s="348"/>
      <x:c r="M38" s="348" t="str">
        <x:v>2026-10-19T12:01</x:v>
      </x:c>
      <x:c r="N38" s="348"/>
      <x:c r="O38" s="348"/>
      <x:c r="P38" s="348" t="str">
        <x:v>多链协议</x:v>
      </x:c>
      <x:c r="Q38" s="348"/>
      <x:c r="R38" s="351"/>
    </x:row>
    <x:row r="39" ht="30" customHeight="1">
      <x:c r="A39" s="357" t="str">
        <x:v>DEX 成交额 24h</x:v>
      </x:c>
      <x:c r="B39" s="15"/>
      <x:c r="C39" s="15"/>
      <x:c r="D39" s="15"/>
      <x:c r="E39" s="15"/>
      <x:c r="F39" s="15"/>
      <x:c r="G39" s="358" t="n">
        <x:f>'链上与动态'!B5</x:f>
        <x:v>1730000000</x:v>
      </x:c>
      <x:c r="H39" s="359"/>
      <x:c r="I39" s="359"/>
      <x:c r="J39" s="359"/>
      <x:c r="K39" s="15" t="str">
        <x:v>USD</x:v>
      </x:c>
      <x:c r="L39" s="15"/>
      <x:c r="M39" s="15" t="str">
        <x:v>2026-10-19T12:01</x:v>
      </x:c>
      <x:c r="N39" s="15"/>
      <x:c r="O39" s="15"/>
      <x:c r="P39" s="15" t="str">
        <x:v>多链协议</x:v>
      </x:c>
      <x:c r="Q39" s="15"/>
      <x:c r="R39" s="360"/>
    </x:row>
    <x:row r="40" ht="30" customHeight="1">
      <x:c r="A40" s="347" t="str">
        <x:v>DEX 成交额 7d</x:v>
      </x:c>
      <x:c r="B40" s="348"/>
      <x:c r="C40" s="348"/>
      <x:c r="D40" s="348"/>
      <x:c r="E40" s="348"/>
      <x:c r="F40" s="348"/>
      <x:c r="G40" s="349" t="n">
        <x:f>'链上与动态'!B6</x:f>
        <x:v>15601000000</x:v>
      </x:c>
      <x:c r="H40" s="350"/>
      <x:c r="I40" s="350"/>
      <x:c r="J40" s="350"/>
      <x:c r="K40" s="348" t="str">
        <x:v>USD</x:v>
      </x:c>
      <x:c r="L40" s="348"/>
      <x:c r="M40" s="348" t="str">
        <x:v>2026-10-19T12:01</x:v>
      </x:c>
      <x:c r="N40" s="348"/>
      <x:c r="O40" s="348"/>
      <x:c r="P40" s="348" t="str">
        <x:v>多链协议</x:v>
      </x:c>
      <x:c r="Q40" s="348"/>
      <x:c r="R40" s="351"/>
    </x:row>
    <x:row r="41" ht="30" customHeight="1">
      <x:c r="A41" s="357" t="str">
        <x:v>协议费用 7d</x:v>
      </x:c>
      <x:c r="B41" s="15"/>
      <x:c r="C41" s="15"/>
      <x:c r="D41" s="15"/>
      <x:c r="E41" s="15"/>
      <x:c r="F41" s="15"/>
      <x:c r="G41" s="358" t="n">
        <x:f>'链上与动态'!B7</x:f>
        <x:v>19200000</x:v>
      </x:c>
      <x:c r="H41" s="359"/>
      <x:c r="I41" s="359"/>
      <x:c r="J41" s="359"/>
      <x:c r="K41" s="15" t="str">
        <x:v>USD</x:v>
      </x:c>
      <x:c r="L41" s="15"/>
      <x:c r="M41" s="15" t="str">
        <x:v>2026-10-19T12:01</x:v>
      </x:c>
      <x:c r="N41" s="15"/>
      <x:c r="O41" s="15"/>
      <x:c r="P41" s="15" t="str">
        <x:v>多链协议</x:v>
      </x:c>
      <x:c r="Q41" s="15"/>
      <x:c r="R41" s="360"/>
    </x:row>
    <x:row r="42" ht="30" customHeight="1">
      <x:c r="A42" s="364" t="str">
        <x:v>协议收入 7d</x:v>
      </x:c>
      <x:c r="B42" s="365"/>
      <x:c r="C42" s="365"/>
      <x:c r="D42" s="365"/>
      <x:c r="E42" s="365"/>
      <x:c r="F42" s="365"/>
      <x:c r="G42" s="366" t="n">
        <x:f>'链上与动态'!B8</x:f>
        <x:v>1830000</x:v>
      </x:c>
      <x:c r="H42" s="367"/>
      <x:c r="I42" s="367"/>
      <x:c r="J42" s="367"/>
      <x:c r="K42" s="365" t="str">
        <x:v>USD</x:v>
      </x:c>
      <x:c r="L42" s="365"/>
      <x:c r="M42" s="365" t="str">
        <x:v>2026-10-19T12:01</x:v>
      </x:c>
      <x:c r="N42" s="365"/>
      <x:c r="O42" s="365"/>
      <x:c r="P42" s="365" t="str">
        <x:v>多链协议</x:v>
      </x:c>
      <x:c r="Q42" s="365"/>
      <x:c r="R42" s="368"/>
    </x:row>
    <x:row r="43" ht="23" customHeight="1">
      <x:c r="A43" s="369" t="str">
        <x:v>完整 UTC 日 2026-10-12—2026-10-18｜当下行情观察 11:58 北京时间｜协议数据观察 2026-10-19T12:01:03+08:00 北京时间页面观察</x:v>
      </x:c>
      <x:c r="B43" s="369"/>
      <x:c r="C43" s="369"/>
      <x:c r="D43" s="369"/>
      <x:c r="E43" s="369"/>
      <x:c r="F43" s="369"/>
      <x:c r="G43" s="369"/>
      <x:c r="H43" s="369"/>
      <x:c r="I43" s="369"/>
      <x:c r="J43" s="369"/>
      <x:c r="K43" s="369"/>
      <x:c r="L43" s="369"/>
      <x:c r="M43" s="369"/>
      <x:c r="N43" s="369"/>
      <x:c r="O43" s="369"/>
      <x:c r="P43" s="369"/>
      <x:c r="Q43" s="369"/>
      <x:c r="R43" s="369"/>
    </x:row>
    <x:row r="44" ht="23" customHeight="1">
      <x:c r="A44" s="369" t="str">
        <x:v>UNI 是多链协议代币；费用与协议收入不能直接当作 UNI 持有人现金流。</x:v>
      </x:c>
      <x:c r="B44" s="369"/>
      <x:c r="C44" s="369"/>
      <x:c r="D44" s="369"/>
      <x:c r="E44" s="369"/>
      <x:c r="F44" s="369"/>
      <x:c r="G44" s="369"/>
      <x:c r="H44" s="369"/>
      <x:c r="I44" s="369"/>
      <x:c r="J44" s="369"/>
      <x:c r="K44" s="369"/>
      <x:c r="L44" s="369"/>
      <x:c r="M44" s="369"/>
      <x:c r="N44" s="369"/>
      <x:c r="O44" s="369"/>
      <x:c r="P44" s="369"/>
      <x:c r="Q44" s="369"/>
      <x:c r="R44" s="369"/>
    </x:row>
    <x:row r="45" ht="23" customHeight="1">
      <x:c r="A45" s="369" t="str">
        <x:v>详细定义、七天前比较基准及产品范围核验见「链上与动态」；价格来源见「行情与资金流」。</x:v>
      </x:c>
      <x:c r="B45" s="369"/>
      <x:c r="C45" s="369"/>
      <x:c r="D45" s="369"/>
      <x:c r="E45" s="369"/>
      <x:c r="F45" s="369"/>
      <x:c r="G45" s="369"/>
      <x:c r="H45" s="369"/>
      <x:c r="I45" s="369"/>
      <x:c r="J45" s="369"/>
      <x:c r="K45" s="369"/>
      <x:c r="L45" s="369"/>
      <x:c r="M45" s="369"/>
      <x:c r="N45" s="369"/>
      <x:c r="O45" s="369"/>
      <x:c r="P45" s="369"/>
      <x:c r="Q45" s="369"/>
      <x:c r="R45" s="369"/>
    </x:row>
    <x:row r="46" ht="23" customHeight="1">
      <x:c r="A46" s="369" t="str">
        <x:v>若无七天前同口径快照，首页周变化写“基准不足”，不能用更近日期替代。</x:v>
      </x:c>
      <x:c r="B46" s="369"/>
      <x:c r="C46" s="369"/>
      <x:c r="D46" s="369"/>
      <x:c r="E46" s="369"/>
      <x:c r="F46" s="369"/>
      <x:c r="G46" s="369"/>
      <x:c r="H46" s="369"/>
      <x:c r="I46" s="369"/>
      <x:c r="J46" s="369"/>
      <x:c r="K46" s="369"/>
      <x:c r="L46" s="369"/>
      <x:c r="M46" s="369"/>
      <x:c r="N46" s="369"/>
      <x:c r="O46" s="369"/>
      <x:c r="P46" s="369"/>
      <x:c r="Q46" s="369"/>
      <x:c r="R46" s="369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</x:row>
    <x:row r="49" ht="23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F37"/>
    <x:mergeCell ref="G37:J37"/>
    <x:mergeCell ref="K37:L37"/>
    <x:mergeCell ref="M37:O37"/>
    <x:mergeCell ref="P37:R37"/>
    <x:mergeCell ref="A38:F38"/>
    <x:mergeCell ref="G38:J38"/>
    <x:mergeCell ref="K38:L38"/>
    <x:mergeCell ref="M38:O38"/>
    <x:mergeCell ref="P38:R38"/>
    <x:mergeCell ref="A39:F39"/>
    <x:mergeCell ref="G39:J39"/>
    <x:mergeCell ref="K39:L39"/>
    <x:mergeCell ref="M39:O39"/>
    <x:mergeCell ref="P39:R39"/>
    <x:mergeCell ref="A40:F40"/>
    <x:mergeCell ref="G40:J40"/>
    <x:mergeCell ref="K40:L40"/>
    <x:mergeCell ref="M40:O40"/>
    <x:mergeCell ref="P40:R40"/>
    <x:mergeCell ref="A41:F41"/>
    <x:mergeCell ref="G41:J41"/>
    <x:mergeCell ref="K41:L41"/>
    <x:mergeCell ref="M41:O41"/>
    <x:mergeCell ref="P41:R41"/>
    <x:mergeCell ref="A42:F42"/>
    <x:mergeCell ref="G42:J42"/>
    <x:mergeCell ref="K42:L42"/>
    <x:mergeCell ref="M42:O42"/>
    <x:mergeCell ref="P42:R42"/>
    <x:mergeCell ref="A43:R43"/>
    <x:mergeCell ref="A44:R44"/>
    <x:mergeCell ref="A45:R45"/>
    <x:mergeCell ref="A46:R46"/>
  </x:mergeCells>
  <x:pageMargins left="0.7" right="0.7" top="0.75" bottom="0.75" header="0.3" footer="0.3"/>
  <x:drawing xmlns:r="http://schemas.openxmlformats.org/officeDocument/2006/relationships" r:id="R009023fc56314fae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UNI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未核实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尚无完整持仓来源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(UNI)</x:v>
      </x:c>
      <x:c r="B5" s="4"/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UNI</x:v>
      </x:c>
      <x:c r="C7" s="8" t="str">
        <x:v>日变化 UNI</x:v>
      </x:c>
      <x:c r="D7" s="8" t="str">
        <x:v>由持仓差计算</x:v>
      </x:c>
      <x:c r="E7" s="8" t="str">
        <x:v>差额 UNI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UNI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2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/>
      <x:c r="G18" s="1"/>
      <x:c r="H18" s="4"/>
      <x:c r="I18" s="16"/>
      <x:c r="J18" s="37"/>
      <x:c r="K18" s="38"/>
      <x:c r="L18" s="1"/>
      <x:c r="M18" s="1"/>
      <x:c r="N18" s="1"/>
      <x:c r="O18" s="1"/>
      <x:c r="P18" s="1"/>
      <x:c r="Q18" s="36"/>
    </x:row>
    <x:row r="19" ht="28" customHeight="1">
      <x:c r="A19" s="26"/>
      <x:c r="B19" s="26"/>
      <x:c r="C19" s="35"/>
      <x:c r="D19" s="1"/>
      <x:c r="E19" s="1"/>
      <x:c r="F19" s="15"/>
      <x:c r="G19" s="9"/>
      <x:c r="H19" s="10"/>
      <x:c r="I19" s="17"/>
      <x:c r="J19" s="37"/>
      <x:c r="K19" s="38"/>
      <x:c r="L19" s="1"/>
      <x:c r="M19" s="1"/>
      <x:c r="N19" s="1"/>
      <x:c r="O19" s="1"/>
      <x:c r="P19" s="1"/>
      <x:c r="Q19" s="36"/>
    </x:row>
    <x:row r="20" ht="28" customHeight="1">
      <x:c r="A20" s="24"/>
      <x:c r="B20" s="24"/>
      <x:c r="C20" s="34"/>
      <x:c r="D20" s="1"/>
      <x:c r="E20" s="1"/>
      <x:c r="F20" s="14"/>
      <x:c r="G20" s="1"/>
      <x:c r="H20" s="4"/>
      <x:c r="I20" s="16"/>
      <x:c r="J20" s="37"/>
      <x:c r="K20" s="38"/>
      <x:c r="L20" s="1"/>
      <x:c r="M20" s="1"/>
      <x:c r="N20" s="1"/>
      <x:c r="O20" s="1"/>
      <x:c r="P20" s="1"/>
      <x:c r="Q20" s="36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37"/>
      <x:c r="K21" s="38"/>
      <x:c r="L21" s="1"/>
      <x:c r="M21" s="1"/>
      <x:c r="N21" s="1"/>
      <x:c r="O21" s="1"/>
      <x:c r="P21" s="1"/>
      <x:c r="Q21" s="36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37"/>
      <x:c r="K22" s="38"/>
      <x:c r="L22" s="1"/>
      <x:c r="M22" s="1"/>
      <x:c r="N22" s="1"/>
      <x:c r="O22" s="1"/>
      <x:c r="P22" s="1"/>
      <x:c r="Q22" s="36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7"/>
      <x:c r="K23" s="38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7"/>
      <x:c r="K24" s="38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7"/>
      <x:c r="K25" s="38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7"/>
      <x:c r="K26" s="38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7"/>
      <x:c r="K27" s="38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7"/>
      <x:c r="K28" s="38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8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2" t="str">
        <x:v>产品清单仅说明统计范围。
持仓总量与净变化待完整披露。</x:v>
      </x:c>
      <x:c r="G31" s="42"/>
      <x:c r="H31" s="42"/>
      <x:c r="I31" s="42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2"/>
      <x:c r="G32" s="42"/>
      <x:c r="H32" s="42"/>
      <x:c r="I32" s="42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2"/>
      <x:c r="G33" s="42"/>
      <x:c r="H33" s="42"/>
      <x:c r="I33" s="42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4" t="str">
        <x:v>注意：仅确认现货产品范围；缺少同交易日完整发行商披露，不计算合计持仓与变化。</x:v>
      </x:c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UNI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2026-10-19 11:59:06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5" t="n">
        <x:v>7.29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6" t="n">
        <x:v>-0.0000484</x:v>
      </x:c>
      <x:c r="C5" s="1"/>
      <x:c r="D5" s="1" t="str">
        <x:v>持币总量状态</x:v>
      </x:c>
      <x:c r="E5" s="1" t="str">
        <x:v>暂无完整来源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7" t="n">
        <x:v>369966843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7" t="n">
        <x:v>4554800972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6" t="n">
        <x:v>-0.050643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 t="str">
        <x:v>流通供应量 UNI</x:v>
      </x:c>
      <x:c r="B9" s="48" t="n">
        <x:v>624740422.4808736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UNI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1" t="str">
        <x:v>当前未取得可核验的逐日 ETF 美元净资金流。
缺失数据不作零处理。</x:v>
      </x:c>
      <x:c r="B11" s="52"/>
      <x:c r="C11" s="1"/>
      <x:c r="D11" s="14" t="str">
        <x:v>10-12</x:v>
      </x:c>
      <x:c r="E11" s="47" t="n">
        <x:v>6.972878</x:v>
      </x:c>
      <x:c r="F11" s="1"/>
      <x:c r="G11" s="1" t="str">
        <x:v>即时行情</x:v>
      </x:c>
      <x:c r="H11" s="36" t="str">
        <x:v>https://api.coingecko.com/api/v3/coins/markets?vs_currency=usd&amp;ids=uniswap%2Czcash&amp;price_change_percentage=7d</x:v>
      </x:c>
      <x:c r="I11" s="1"/>
      <x:c r="J11" s="1"/>
      <x:c r="K11" s="1"/>
      <x:c r="L11" s="1" t="str">
        <x:f>D12</x:f>
        <x:v>10-13</x:v>
      </x:c>
      <x:c r="M11" s="53" t="n">
        <x:f>MAX(E12/E11-1,0)</x:f>
        <x:v>0.08083219009424814</x:v>
      </x:c>
      <x:c r="N11" s="53" t="n">
        <x:f>MIN(E12/E11-1,0)</x:f>
        <x:v>0</x:v>
      </x:c>
    </x:row>
    <x:row r="12" ht="48" customHeight="1">
      <x:c r="A12" s="51"/>
      <x:c r="B12" s="52"/>
      <x:c r="C12" s="1"/>
      <x:c r="D12" s="14" t="str">
        <x:v>10-13</x:v>
      </x:c>
      <x:c r="E12" s="47" t="n">
        <x:v>7.536511</x:v>
      </x:c>
      <x:c r="F12" s="1"/>
      <x:c r="G12" s="1" t="str">
        <x:v>价格历史</x:v>
      </x:c>
      <x:c r="H12" s="36" t="str">
        <x:v>https://api.coingecko.com/api/v3/coins/uniswap/market_chart?vs_currency=usd&amp;days=8&amp;interval=daily</x:v>
      </x:c>
      <x:c r="I12" s="1"/>
      <x:c r="J12" s="1"/>
      <x:c r="K12" s="1"/>
      <x:c r="L12" s="1" t="str">
        <x:f>D13</x:f>
        <x:v>10-14</x:v>
      </x:c>
      <x:c r="M12" s="53" t="n">
        <x:f>MAX(E13/E12-1,0)</x:f>
        <x:v>0</x:v>
      </x:c>
      <x:c r="N12" s="53" t="n">
        <x:f>MIN(E13/E12-1,0)</x:f>
        <x:v>-0.046352085202290505</x:v>
      </x:c>
    </x:row>
    <x:row r="13" ht="28" customHeight="1">
      <x:c r="A13" s="51"/>
      <x:c r="B13" s="52"/>
      <x:c r="C13" s="1"/>
      <x:c r="D13" s="14" t="str">
        <x:v>10-14</x:v>
      </x:c>
      <x:c r="E13" s="47" t="n">
        <x:v>7.187178</x:v>
      </x:c>
      <x:c r="F13" s="1"/>
      <x:c r="G13" s="1" t="str">
        <x:v>ETF资金流</x:v>
      </x:c>
      <x:c r="H13" s="1" t="str">
        <x:v>无已确认合格产品；不适用</x:v>
      </x:c>
      <x:c r="I13" s="1"/>
      <x:c r="J13" s="1"/>
      <x:c r="K13" s="1"/>
      <x:c r="L13" s="1" t="str">
        <x:f>D14</x:f>
        <x:v>10-15</x:v>
      </x:c>
      <x:c r="M13" s="53" t="n">
        <x:f>MAX(E14/E13-1,0)</x:f>
        <x:v>0.032916535530356894</x:v>
      </x:c>
      <x:c r="N13" s="53" t="n">
        <x:f>MIN(E14/E13-1,0)</x:f>
        <x:v>0</x:v>
      </x:c>
    </x:row>
    <x:row r="14" ht="28" customHeight="1">
      <x:c r="A14" s="51"/>
      <x:c r="B14" s="52"/>
      <x:c r="C14" s="1"/>
      <x:c r="D14" s="14" t="str">
        <x:v>10-15</x:v>
      </x:c>
      <x:c r="E14" s="47" t="n">
        <x:v>7.423755</x:v>
      </x:c>
      <x:c r="F14" s="1"/>
      <x:c r="G14" s="1" t="str">
        <x:v>产品范围</x:v>
      </x:c>
      <x:c r="H14" s="1" t="str">
        <x:v>未确认符合美国现货 ETF 口径的产品；排除项见来源页</x:v>
      </x:c>
      <x:c r="I14" s="1"/>
      <x:c r="J14" s="1"/>
      <x:c r="K14" s="1"/>
      <x:c r="L14" s="1" t="str">
        <x:f>D15</x:f>
        <x:v>10-16</x:v>
      </x:c>
      <x:c r="M14" s="53" t="n">
        <x:f>MAX(E15/E14-1,0)</x:f>
        <x:v>0</x:v>
      </x:c>
      <x:c r="N14" s="53" t="n">
        <x:f>MIN(E15/E14-1,0)</x:f>
        <x:v>-0.013085695850684753</x:v>
      </x:c>
    </x:row>
    <x:row r="15" ht="48" customHeight="1">
      <x:c r="A15" s="51"/>
      <x:c r="B15" s="52"/>
      <x:c r="C15" s="1"/>
      <x:c r="D15" s="14" t="str">
        <x:v>10-16</x:v>
      </x:c>
      <x:c r="E15" s="47" t="n">
        <x:v>7.32661</x:v>
      </x:c>
      <x:c r="F15" s="1"/>
      <x:c r="G15" s="1" t="str">
        <x:v>行情时间口径</x:v>
      </x:c>
      <x:c r="H15" s="36" t="str">
        <x:v>行情提供方更新时间 2026-10-19T03:58:46.000Z（CoinGecko 提供方更新时间，UTC）</x:v>
      </x:c>
      <x:c r="I15" s="1"/>
      <x:c r="J15" s="1"/>
      <x:c r="K15" s="1"/>
      <x:c r="L15" s="1" t="str">
        <x:f>D16</x:f>
        <x:v>10-17</x:v>
      </x:c>
      <x:c r="M15" s="53" t="n">
        <x:f>MAX(E16/E15-1,0)</x:f>
        <x:v>0</x:v>
      </x:c>
      <x:c r="N15" s="53" t="n">
        <x:f>MIN(E16/E15-1,0)</x:f>
        <x:v>-0.024765614656710233</x:v>
      </x:c>
    </x:row>
    <x:row r="16" ht="28" customHeight="1">
      <x:c r="A16" s="51"/>
      <x:c r="B16" s="52"/>
      <x:c r="C16" s="1"/>
      <x:c r="D16" s="14" t="str">
        <x:v>10-17</x:v>
      </x:c>
      <x:c r="E16" s="47" t="n">
        <x:v>7.145162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10-18</x:v>
      </x:c>
      <x:c r="M16" s="53" t="n">
        <x:f>MAX(E17/E16-1,0)</x:f>
        <x:v>0.006169209319536684</x:v>
      </x:c>
      <x:c r="N16" s="53" t="n">
        <x:f>MIN(E17/E16-1,0)</x:f>
        <x:v>0</x:v>
      </x:c>
    </x:row>
    <x:row r="17" ht="28" customHeight="1">
      <x:c r="A17" s="51"/>
      <x:c r="B17" s="52"/>
      <x:c r="C17" s="1"/>
      <x:c r="D17" s="14" t="str">
        <x:v>10-18</x:v>
      </x:c>
      <x:c r="E17" s="47" t="n">
        <x:v>7.189242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4" t="str">
        <x:v>资金净流入以美元计，不等于 ETF 原生 UNI 持仓变化；不同来源更新时间不能混用。</x:v>
      </x:c>
      <x:c r="B19" s="44"/>
      <x:c r="C19" s="44"/>
      <x:c r="D19" s="44"/>
      <x:c r="E19" s="44"/>
      <x:c r="F19" s="44"/>
      <x:c r="G19" s="44"/>
      <x:c r="H19" s="44"/>
      <x:c r="I19" s="44"/>
      <x:c r="J19" s="44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4" t="str">
        <x:v>最近完整交易日产品贡献 · 待披露 美东</x:v>
      </x:c>
      <x:c r="B21" s="54"/>
      <x:c r="C21" s="54"/>
      <x:c r="D21" s="54"/>
      <x:c r="E21" s="54"/>
      <x:c r="F21" s="54"/>
      <x:c r="G21" s="54"/>
      <x:c r="H21" s="54"/>
      <x:c r="I21" s="54"/>
      <x:c r="J21" s="54"/>
      <x:c r="K21" s="1"/>
      <x:c r="L21" s="1"/>
      <x:c r="M21" s="1"/>
      <x:c r="N21" s="1"/>
    </x:row>
    <x:row r="22" ht="28" customHeight="1">
      <x:c r="A22" s="55" t="str">
        <x:v>产品</x:v>
      </x:c>
      <x:c r="B22" s="55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58" t="str">
        <x:v>当前未取得可核验的产品资金流明细。</x:v>
      </x:c>
      <x:c r="B23" s="58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58"/>
      <x:c r="B24" s="58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58"/>
      <x:c r="B25" s="58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58"/>
      <x:c r="B26" s="58"/>
      <x:c r="C26" s="1"/>
      <x:c r="D26" s="59" t="str">
        <x:v>资金流未取得完整来源；空白并非零。</x:v>
      </x:c>
      <x:c r="E26" s="59"/>
      <x:c r="F26" s="59"/>
      <x:c r="G26" s="59"/>
      <x:c r="H26" s="59"/>
      <x:c r="I26" s="59"/>
      <x:c r="J26" s="59"/>
      <x:c r="K26" s="1"/>
      <x:c r="L26" s="1"/>
      <x:c r="M26" s="1"/>
      <x:c r="N26" s="1"/>
    </x:row>
    <x:row r="27" ht="28" customHeight="1">
      <x:c r="A27" s="1"/>
      <x:c r="B27" s="1"/>
      <x:c r="C27" s="1"/>
      <x:c r="D27" s="59"/>
      <x:c r="E27" s="59"/>
      <x:c r="F27" s="59"/>
      <x:c r="G27" s="59"/>
      <x:c r="H27" s="59"/>
      <x:c r="I27" s="59"/>
      <x:c r="J27" s="59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UNI 协议指标与重要动态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协议指标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Uniswap 协议 TVL（约）</x:v>
      </x:c>
      <x:c r="B4" s="48" t="n">
        <x:v>3872000000</x:v>
      </x:c>
      <x:c r="C4" s="14" t="str">
        <x:v>USD</x:v>
      </x:c>
      <x:c r="D4" s="62" t="str">
        <x:v>2026-10-19T12:01:03+08:00 北京时间页面观察</x:v>
      </x:c>
      <x:c r="E4" s="36" t="str">
        <x:v>多链 Uniswap 协议页面缩写约值；24h/7d 为滚动窗口，未公布精确采样时刻；非 UNI 持有人现金收入</x:v>
      </x:c>
      <x:c r="F4" s="36" t="str">
        <x:v>https://defillama.com/protocol/uniswap</x:v>
      </x:c>
      <x:c r="G4" s="1"/>
      <x:c r="H4" s="1"/>
    </x:row>
    <x:row r="5" ht="55" customHeight="1">
      <x:c r="A5" s="1" t="str">
        <x:v>Uniswap 协议 DEX 成交额 24h（约）</x:v>
      </x:c>
      <x:c r="B5" s="48" t="n">
        <x:v>1730000000</x:v>
      </x:c>
      <x:c r="C5" s="14" t="str">
        <x:v>USD</x:v>
      </x:c>
      <x:c r="D5" s="62" t="str">
        <x:v>2026-10-19T12:01:03+08:00 北京时间页面观察</x:v>
      </x:c>
      <x:c r="E5" s="36" t="str">
        <x:v>多链 Uniswap 协议页面缩写约值；24h/7d 为滚动窗口，未公布精确采样时刻；非 UNI 持有人现金收入</x:v>
      </x:c>
      <x:c r="F5" s="36" t="str">
        <x:v>https://defillama.com/protocol/uniswap</x:v>
      </x:c>
      <x:c r="G5" s="1"/>
      <x:c r="H5" s="1"/>
    </x:row>
    <x:row r="6" ht="55" customHeight="1">
      <x:c r="A6" s="1" t="str">
        <x:v>Uniswap 协议 DEX 成交额 7d（约）</x:v>
      </x:c>
      <x:c r="B6" s="48" t="n">
        <x:v>15601000000</x:v>
      </x:c>
      <x:c r="C6" s="14" t="str">
        <x:v>USD</x:v>
      </x:c>
      <x:c r="D6" s="62" t="str">
        <x:v>2026-10-19T12:01:03+08:00 北京时间页面观察</x:v>
      </x:c>
      <x:c r="E6" s="36" t="str">
        <x:v>多链 Uniswap 协议页面缩写约值；24h/7d 为滚动窗口，未公布精确采样时刻；非 UNI 持有人现金收入</x:v>
      </x:c>
      <x:c r="F6" s="36" t="str">
        <x:v>https://defillama.com/protocol/uniswap</x:v>
      </x:c>
      <x:c r="G6" s="1"/>
      <x:c r="H6" s="1"/>
    </x:row>
    <x:row r="7" ht="55" customHeight="1">
      <x:c r="A7" s="1" t="str">
        <x:v>Uniswap 协议费用 7d（约）</x:v>
      </x:c>
      <x:c r="B7" s="48" t="n">
        <x:v>19200000</x:v>
      </x:c>
      <x:c r="C7" s="14" t="str">
        <x:v>USD</x:v>
      </x:c>
      <x:c r="D7" s="62" t="str">
        <x:v>2026-10-19T12:01:03+08:00 北京时间页面观察</x:v>
      </x:c>
      <x:c r="E7" s="36" t="str">
        <x:v>多链 Uniswap 协议页面缩写约值；24h/7d 为滚动窗口，未公布精确采样时刻；非 UNI 持有人现金收入</x:v>
      </x:c>
      <x:c r="F7" s="36" t="str">
        <x:v>https://defillama.com/protocol/uniswap</x:v>
      </x:c>
      <x:c r="G7" s="1"/>
      <x:c r="H7" s="1"/>
    </x:row>
    <x:row r="8" ht="55" customHeight="1">
      <x:c r="A8" s="1" t="str">
        <x:v>Uniswap 协议收入 7d（约）</x:v>
      </x:c>
      <x:c r="B8" s="48" t="n">
        <x:v>1830000</x:v>
      </x:c>
      <x:c r="C8" s="14" t="str">
        <x:v>USD</x:v>
      </x:c>
      <x:c r="D8" s="62" t="str">
        <x:v>2026-10-19T12:01:03+08:00 北京时间页面观察</x:v>
      </x:c>
      <x:c r="E8" s="36" t="str">
        <x:v>多链 Uniswap 协议页面缩写约值；24h/7d 为滚动窗口，未公布精确采样时刻；非 UNI 持有人现金收入</x:v>
      </x:c>
      <x:c r="F8" s="36" t="str">
        <x:v>https://defillama.com/protocol/uniswap</x:v>
      </x:c>
      <x:c r="G8" s="1"/>
      <x:c r="H8" s="1"/>
    </x:row>
    <x:row r="9" ht="29" customHeight="1">
      <x:c r="A9" s="1"/>
      <x:c r="B9" s="48"/>
      <x:c r="C9" s="14"/>
      <x:c r="D9" s="62"/>
      <x:c r="E9" s="36"/>
      <x:c r="F9" s="36"/>
      <x:c r="G9" s="1"/>
      <x:c r="H9" s="1"/>
    </x:row>
    <x:row r="10" ht="29" customHeight="1">
      <x:c r="A10" s="1"/>
      <x:c r="B10" s="48"/>
      <x:c r="C10" s="14"/>
      <x:c r="D10" s="62"/>
      <x:c r="E10" s="36"/>
      <x:c r="F10" s="36"/>
      <x:c r="G10" s="1"/>
      <x:c r="H10" s="1"/>
    </x:row>
    <x:row r="11" ht="29" customHeight="1">
      <x:c r="A11" s="8" t="str">
        <x:v>重要动态</x:v>
      </x:c>
      <x:c r="B11" s="70" t="str">
        <x:v>事件日期</x:v>
      </x:c>
      <x:c r="C11" s="8" t="str">
        <x:v>发布日期</x:v>
      </x:c>
      <x:c r="D11" s="68" t="str">
        <x:v>核验状态</x:v>
      </x:c>
      <x:c r="E11" s="71" t="str">
        <x:v>摘要</x:v>
      </x:c>
      <x:c r="F11" s="71" t="str">
        <x:v>直接来源</x:v>
      </x:c>
      <x:c r="G11" s="1"/>
      <x:c r="H11" s="1"/>
    </x:row>
    <x:row r="12" ht="38" customHeight="1">
      <x:c r="A12" s="36" t="str">
        <x:v>本次未核实到符合时间窗口的重要动态。</x:v>
      </x:c>
      <x:c r="B12" s="1"/>
      <x:c r="C12" s="1"/>
      <x:c r="D12" s="1"/>
      <x:c r="E12" s="36"/>
      <x:c r="F12" s="1"/>
      <x:c r="G12" s="1"/>
      <x:c r="H12" s="1"/>
    </x:row>
    <x:row r="13" ht="29" customHeight="1">
      <x:c r="A13" s="36"/>
      <x:c r="B13" s="1"/>
      <x:c r="C13" s="1"/>
      <x:c r="D13" s="1"/>
      <x:c r="E13" s="36"/>
      <x:c r="F13" s="1"/>
      <x:c r="G13" s="1"/>
      <x:c r="H13" s="1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3" t="str">
        <x:v>数据口径：Uniswap 协议跨多条链，协议 TVL 和 DEX 交易额不是 UNI 链指标或代币持有人收入。</x:v>
      </x:c>
      <x:c r="B15" s="44"/>
      <x:c r="C15" s="44"/>
      <x:c r="D15" s="44"/>
      <x:c r="E15" s="73"/>
      <x:c r="F15" s="44"/>
      <x:c r="G15" s="44"/>
      <x:c r="H15" s="44"/>
    </x:row>
    <x:row r="16" ht="29" customHeight="1">
      <x:c r="A16" s="36"/>
      <x:c r="B16" s="1"/>
      <x:c r="C16" s="1"/>
      <x:c r="D16" s="1"/>
      <x:c r="E16" s="36"/>
      <x:c r="F16" s="1"/>
      <x:c r="G16" s="1"/>
      <x:c r="H16" s="1"/>
    </x:row>
    <x:row r="17" ht="29" customHeight="1">
      <x:c r="A17" s="74" t="str">
        <x:v>来源与产品范围核验</x:v>
      </x:c>
      <x:c r="B17" s="75"/>
      <x:c r="C17" s="75"/>
      <x:c r="D17" s="75"/>
      <x:c r="E17" s="74"/>
      <x:c r="F17" s="75"/>
      <x:c r="G17" s="1"/>
      <x:c r="H17" s="1"/>
    </x:row>
    <x:row r="18" ht="32" customHeight="1">
      <x:c r="A18" s="36" t="str">
        <x:v>CoinGecko</x:v>
      </x:c>
      <x:c r="B18" s="1" t="str">
        <x:v>https://api.coingecko.com/api/v3/coins/markets?vs_currency=usd&amp;ids=uniswap%2Czcash&amp;price_change_percentage=7d</x:v>
      </x:c>
      <x:c r="C18" s="1"/>
      <x:c r="D18" s="1"/>
      <x:c r="E18" s="36"/>
      <x:c r="F18" s="1"/>
      <x:c r="G18" s="1"/>
      <x:c r="H18" s="1"/>
    </x:row>
    <x:row r="19" ht="32" customHeight="1">
      <x:c r="A19" s="76" t="str">
        <x:v>21Shares AUNI (excluded European ETP)</x:v>
      </x:c>
      <x:c r="B19" s="9" t="str">
        <x:v>https://www.21shares.com/en-uk/product/auni</x:v>
      </x:c>
      <x:c r="C19" s="9"/>
      <x:c r="D19" s="9"/>
      <x:c r="E19" s="76"/>
      <x:c r="F19" s="9"/>
      <x:c r="G19" s="1"/>
      <x:c r="H19" s="1"/>
    </x:row>
    <x:row r="20" ht="32" customHeight="1">
      <x:c r="A20" s="1" t="str">
        <x:v>Bitwise Uniswap Fund (excluded private fund)</x:v>
      </x:c>
      <x:c r="B20" s="1" t="str">
        <x:v>https://bitwiseinvestments.com/crypto-funds/uniswap</x:v>
      </x:c>
      <x:c r="C20" s="1"/>
      <x:c r="D20" s="1"/>
      <x:c r="E20" s="1"/>
      <x:c r="F20" s="1"/>
      <x:c r="G20" s="1"/>
      <x:c r="H20" s="1"/>
    </x:row>
    <x:row r="21" ht="32" customHeight="1">
      <x:c r="A21" s="9" t="str">
        <x:v>DefiLlama Uniswap protocol</x:v>
      </x:c>
      <x:c r="B21" s="9" t="str">
        <x:v>https://defillama.com/protocol/uniswap</x:v>
      </x:c>
      <x:c r="C21" s="9"/>
      <x:c r="D21" s="9"/>
      <x:c r="E21" s="9"/>
      <x:c r="F21" s="9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75" t="str">
        <x:v>周度同口径比较</x:v>
      </x:c>
      <x:c r="B23" s="75"/>
      <x:c r="C23" s="75"/>
      <x:c r="D23" s="75"/>
      <x:c r="E23" s="75"/>
      <x:c r="F23" s="75"/>
      <x:c r="G23" s="1"/>
      <x:c r="H23" s="1"/>
    </x:row>
    <x:row r="24" ht="29" customHeight="1">
      <x:c r="A24" s="1" t="str">
        <x:v>缺少整整七天前的已核实快照；不以更近日期冒充上周基准</x:v>
      </x:c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2:F12"/>
    <x:mergeCell ref="A15:H15"/>
    <x:mergeCell ref="A17:F17"/>
    <x:mergeCell ref="B18:F18"/>
    <x:mergeCell ref="B19:F19"/>
    <x:mergeCell ref="B20:F20"/>
    <x:mergeCell ref="B21:F21"/>
    <x:mergeCell ref="A23:F23"/>
    <x:mergeCell ref="A24:F24"/>
  </x:mergeCells>
  <x:pageMargins left="0.7" right="0.7" top="0.75" bottom="0.75" header="0.3" footer="0.3"/>
</x:worksheet>
</file>