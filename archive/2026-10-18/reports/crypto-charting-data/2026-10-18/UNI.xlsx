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ec03f8919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日报" sheetId="1" r:id="R772e6e23c0434e15"/>
    <x:sheet xmlns:r="http://schemas.openxmlformats.org/officeDocument/2006/relationships" name="持仓录入" sheetId="2" r:id="Re0da21a29d74481d"/>
    <x:sheet xmlns:r="http://schemas.openxmlformats.org/officeDocument/2006/relationships" name="行情与资金流" sheetId="3" r:id="R446c19bbb68248f6"/>
    <x:sheet xmlns:r="http://schemas.openxmlformats.org/officeDocument/2006/relationships" name="链上与动态" sheetId="4" r:id="Rb8410ccb58a2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FBEFF2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5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9" fontId="24" fillId="7" borderId="4" xfId="0" applyNumberFormat="1" applyFont="1" applyFill="1" applyBorder="1"/>
    <x:xf numFmtId="209" fontId="24" fillId="7" borderId="0" xfId="0" applyNumberFormat="1" applyFont="1" applyFill="1" applyBorder="1"/>
    <x:xf numFmtId="209" fontId="24" fillId="7" borderId="5" xfId="0" applyNumberFormat="1" applyFont="1" applyFill="1" applyBorder="1"/>
    <x:xf numFmtId="209" fontId="24" fillId="7" borderId="4" xfId="0" applyNumberFormat="1" applyFont="1" applyFill="1" applyBorder="1" applyAlignment="1">
      <x:alignment horizontal="center"/>
    </x:xf>
    <x:xf numFmtId="209" fontId="24" fillId="7" borderId="0" xfId="0" applyNumberFormat="1" applyFont="1" applyFill="1" applyBorder="1" applyAlignment="1">
      <x:alignment horizontal="center"/>
    </x:xf>
    <x:xf numFmtId="209" fontId="24" fillId="7" borderId="5" xfId="0" applyNumberFormat="1" applyFont="1" applyFill="1" applyBorder="1" applyAlignment="1">
      <x:alignment horizontal="center"/>
    </x:xf>
    <x:xf numFmtId="209" fontId="24" fillId="7" borderId="4" xfId="0" applyNumberFormat="1" applyFont="1" applyFill="1" applyBorder="1" applyAlignment="1">
      <x:alignment horizontal="center" vertical="center"/>
    </x:xf>
    <x:xf numFmtId="209" fontId="24" fillId="7" borderId="0" xfId="0" applyNumberFormat="1" applyFont="1" applyFill="1" applyBorder="1" applyAlignment="1">
      <x:alignment horizontal="center" vertical="center"/>
    </x:xf>
    <x:xf numFmtId="209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/>
    <x:xf numFmtId="0" fontId="1" fillId="9" borderId="0" xfId="0" applyNumberFormat="1" applyFont="1" applyFill="1" applyBorder="1"/>
    <x:xf numFmtId="0" fontId="1" fillId="9" borderId="5" xfId="0" applyNumberFormat="1" applyFont="1" applyFill="1" applyBorder="1"/>
    <x:xf numFmtId="209" fontId="1" fillId="9" borderId="0" xfId="0" applyNumberFormat="1" applyFont="1" applyFill="1" applyBorder="1"/>
    <x:xf numFmtId="209" fontId="1" fillId="9" borderId="5" xfId="0" applyNumberFormat="1" applyFont="1" applyFill="1" applyBorder="1"/>
    <x:xf numFmtId="0" fontId="9" fillId="9" borderId="4" xfId="0" applyNumberFormat="1" applyFont="1" applyFill="1" applyBorder="1"/>
    <x:xf numFmtId="0" fontId="9" fillId="9" borderId="0" xfId="0" applyNumberFormat="1" applyFont="1" applyFill="1" applyBorder="1"/>
    <x:xf numFmtId="209" fontId="27" fillId="9" borderId="0" xfId="0" applyNumberFormat="1" applyFont="1" applyFill="1" applyBorder="1"/>
    <x:xf numFmtId="209" fontId="27" fillId="9" borderId="5" xfId="0" applyNumberFormat="1" applyFont="1" applyFill="1" applyBorder="1"/>
    <x:xf numFmtId="0" fontId="9" fillId="9" borderId="4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/>
    </x:xf>
    <x:xf numFmtId="209" fontId="27" fillId="9" borderId="0" xfId="0" applyNumberFormat="1" applyFont="1" applyFill="1" applyBorder="1" applyAlignment="1">
      <x:alignment horizontal="center"/>
    </x:xf>
    <x:xf numFmtId="209" fontId="27" fillId="9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0" fontId="1" fillId="9" borderId="0" xfId="0" applyNumberFormat="1" applyFont="1" applyFill="1" applyBorder="1"/>
    <x:xf numFmtId="204" fontId="1" fillId="9" borderId="0" xfId="0" applyNumberFormat="1" applyFont="1" applyFill="1" applyBorder="1"/>
    <x:xf numFmtId="200" fontId="9" fillId="9" borderId="0" xfId="0" applyNumberFormat="1" applyFont="1" applyFill="1" applyBorder="1"/>
    <x:xf numFmtId="204" fontId="9" fillId="9" borderId="0" xfId="0" applyNumberFormat="1" applyFont="1" applyFill="1" applyBorder="1"/>
    <x:xf numFmtId="0" fontId="9" fillId="9" borderId="5" xfId="0" applyNumberFormat="1" applyFont="1" applyFill="1" applyBorder="1"/>
    <x:xf numFmtId="200" fontId="9" fillId="9" borderId="0" xfId="0" applyNumberFormat="1" applyFont="1" applyFill="1" applyBorder="1" applyAlignment="1">
      <x:alignment horizontal="center"/>
    </x:xf>
    <x:xf numFmtId="204" fontId="9" fillId="9" borderId="0" xfId="0" applyNumberFormat="1" applyFont="1" applyFill="1" applyBorder="1" applyAlignment="1">
      <x:alignment horizontal="center"/>
    </x:xf>
    <x:xf numFmtId="0" fontId="9" fillId="9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60441ba0b4285" /><Relationship Type="http://schemas.openxmlformats.org/officeDocument/2006/relationships/theme" Target="/xl/theme/theme1.xml" Id="R81e3fc8cb2964ef8" /><Relationship Type="http://schemas.openxmlformats.org/officeDocument/2006/relationships/sharedStrings" Target="/xl/sharedStrings.xml" Id="R45fca66d068d4899" /><Relationship Type="http://schemas.openxmlformats.org/officeDocument/2006/relationships/worksheet" Target="/xl/worksheets/sheet1.xml" Id="R772e6e23c0434e15" /><Relationship Type="http://schemas.openxmlformats.org/officeDocument/2006/relationships/worksheet" Target="/xl/worksheets/sheet2.xml" Id="Re0da21a29d74481d" /><Relationship Type="http://schemas.openxmlformats.org/officeDocument/2006/relationships/worksheet" Target="/xl/worksheets/sheet3.xml" Id="R446c19bbb68248f6" /><Relationship Type="http://schemas.openxmlformats.org/officeDocument/2006/relationships/worksheet" Target="/xl/worksheets/sheet4.xml" Id="Rb8410ccb58a24d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dd9f67c3904b6f" /><Relationship Type="http://schemas.openxmlformats.org/officeDocument/2006/relationships/chart" Target="/xl/drawings/charts/chart2.xml" Id="R1b1ff24a297845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UNI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UNI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dd9f67c3904b6f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1ff24a297845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b6b00d736941f5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2026.10.18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UNI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12:25 北京时间  ·  未确认符合口径的美国现货 ETF 产品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尚未确认符合美国现货 ETF 口径的 UNI 产品；ETF 持仓和资金流不适用，见来源及范围说明。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7.27</x:v>
      </x:c>
      <x:c r="B10" s="121"/>
      <x:c r="C10" s="122"/>
      <x:c r="D10" s="168" t="n">
        <x:f>'行情与资金流'!B5</x:f>
        <x:v>-0.0036069</x:v>
      </x:c>
      <x:c r="E10" s="169"/>
      <x:c r="F10" s="170"/>
      <x:c r="G10" s="168" t="n">
        <x:f>'行情与资金流'!B8</x:f>
        <x:v>-0.045438</x:v>
      </x:c>
      <x:c r="H10" s="169"/>
      <x:c r="I10" s="170"/>
      <x:c r="J10" s="183" t="n">
        <x:f>'行情与资金流'!B6</x:f>
        <x:v>272572440</x:v>
      </x:c>
      <x:c r="K10" s="184"/>
      <x:c r="L10" s="185"/>
      <x:c r="M10" s="183" t="n">
        <x:f>'行情与资金流'!B7</x:f>
        <x:v>4541082391</x:v>
      </x:c>
      <x:c r="N10" s="184"/>
      <x:c r="O10" s="185"/>
      <x:c r="P10" s="195" t="str">
        <x:v>不适用</x:v>
      </x:c>
      <x:c r="Q10" s="196"/>
      <x:c r="R10" s="197"/>
    </x:row>
    <x:row r="11" ht="23" customHeight="1">
      <x:c r="A11" s="120"/>
      <x:c r="B11" s="121"/>
      <x:c r="C11" s="122"/>
      <x:c r="D11" s="168"/>
      <x:c r="E11" s="169"/>
      <x:c r="F11" s="170"/>
      <x:c r="G11" s="168"/>
      <x:c r="H11" s="169"/>
      <x:c r="I11" s="170"/>
      <x:c r="J11" s="183"/>
      <x:c r="K11" s="184"/>
      <x:c r="L11" s="185"/>
      <x:c r="M11" s="183"/>
      <x:c r="N11" s="184"/>
      <x:c r="O11" s="185"/>
      <x:c r="P11" s="195"/>
      <x:c r="Q11" s="196"/>
      <x:c r="R11" s="197"/>
    </x:row>
    <x:row r="12" ht="23" customHeight="1">
      <x:c r="A12" s="120"/>
      <x:c r="B12" s="121"/>
      <x:c r="C12" s="122"/>
      <x:c r="D12" s="168"/>
      <x:c r="E12" s="169"/>
      <x:c r="F12" s="170"/>
      <x:c r="G12" s="168"/>
      <x:c r="H12" s="169"/>
      <x:c r="I12" s="170"/>
      <x:c r="J12" s="183"/>
      <x:c r="K12" s="184"/>
      <x:c r="L12" s="185"/>
      <x:c r="M12" s="183"/>
      <x:c r="N12" s="184"/>
      <x:c r="O12" s="185"/>
      <x:c r="P12" s="195"/>
      <x:c r="Q12" s="196"/>
      <x:c r="R12" s="197"/>
    </x:row>
    <x:row r="13" ht="23" customHeight="1">
      <x:c r="A13" s="123" t="str">
        <x:v>USD / UNI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</x:v>
      </x:c>
      <x:c r="Q13" s="172"/>
      <x:c r="R13" s="173"/>
    </x:row>
    <x:row r="14" ht="23" customHeight="1">
      <x:c r="A14" s="230" t="str">
        <x:v>ETF 流量日</x:v>
      </x:c>
      <x:c r="B14" s="231"/>
      <x:c r="C14" s="232"/>
      <x:c r="D14" s="162" t="str">
        <x:v>近7交易日净流</x:v>
      </x:c>
      <x:c r="E14" s="163"/>
      <x:c r="F14" s="164"/>
      <x:c r="G14" s="275" t="str">
        <x:v>ETF 原生币持仓</x:v>
      </x:c>
      <x:c r="H14" s="276"/>
      <x:c r="I14" s="277"/>
      <x:c r="J14" s="162" t="str">
        <x:v>现货产品数</x:v>
      </x:c>
      <x:c r="K14" s="163"/>
      <x:c r="L14" s="164"/>
      <x:c r="M14" s="162" t="str">
        <x:v>协议 TVL</x:v>
      </x:c>
      <x:c r="N14" s="163"/>
      <x:c r="O14" s="164"/>
      <x:c r="P14" s="162" t="str">
        <x:v>协议 DEX 24h</x:v>
      </x:c>
      <x:c r="Q14" s="163"/>
      <x:c r="R14" s="164"/>
    </x:row>
    <x:row r="15" ht="23" customHeight="1">
      <x:c r="A15" s="233"/>
      <x:c r="B15" s="234"/>
      <x:c r="C15" s="235"/>
      <x:c r="D15" s="165"/>
      <x:c r="E15" s="166"/>
      <x:c r="F15" s="167"/>
      <x:c r="G15" s="278"/>
      <x:c r="H15" s="279"/>
      <x:c r="I15" s="280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36" t="str">
        <x:v>不适用</x:v>
      </x:c>
      <x:c r="B16" s="237"/>
      <x:c r="C16" s="238"/>
      <x:c r="D16" s="195" t="str">
        <x:v>不适用</x:v>
      </x:c>
      <x:c r="E16" s="196"/>
      <x:c r="F16" s="197"/>
      <x:c r="G16" s="281" t="str">
        <x:v>不适用</x:v>
      </x:c>
      <x:c r="H16" s="282"/>
      <x:c r="I16" s="283"/>
      <x:c r="J16" s="290" t="n">
        <x:v>0</x:v>
      </x:c>
      <x:c r="K16" s="291"/>
      <x:c r="L16" s="292"/>
      <x:c r="M16" s="302" t="n">
        <x:f>'链上与动态'!B4</x:f>
        <x:v>3894000000</x:v>
      </x:c>
      <x:c r="N16" s="303"/>
      <x:c r="O16" s="304"/>
      <x:c r="P16" s="302" t="n">
        <x:f>'链上与动态'!B5</x:f>
        <x:v>1196000000</x:v>
      </x:c>
      <x:c r="Q16" s="303"/>
      <x:c r="R16" s="304"/>
    </x:row>
    <x:row r="17" ht="23" customHeight="1">
      <x:c r="A17" s="236"/>
      <x:c r="B17" s="237"/>
      <x:c r="C17" s="238"/>
      <x:c r="D17" s="195"/>
      <x:c r="E17" s="196"/>
      <x:c r="F17" s="197"/>
      <x:c r="G17" s="281"/>
      <x:c r="H17" s="282"/>
      <x:c r="I17" s="283"/>
      <x:c r="J17" s="290"/>
      <x:c r="K17" s="291"/>
      <x:c r="L17" s="292"/>
      <x:c r="M17" s="302"/>
      <x:c r="N17" s="303"/>
      <x:c r="O17" s="304"/>
      <x:c r="P17" s="302"/>
      <x:c r="Q17" s="303"/>
      <x:c r="R17" s="304"/>
    </x:row>
    <x:row r="18" ht="23" customHeight="1">
      <x:c r="A18" s="236"/>
      <x:c r="B18" s="237"/>
      <x:c r="C18" s="238"/>
      <x:c r="D18" s="195"/>
      <x:c r="E18" s="196"/>
      <x:c r="F18" s="197"/>
      <x:c r="G18" s="281"/>
      <x:c r="H18" s="282"/>
      <x:c r="I18" s="283"/>
      <x:c r="J18" s="290"/>
      <x:c r="K18" s="291"/>
      <x:c r="L18" s="292"/>
      <x:c r="M18" s="302"/>
      <x:c r="N18" s="303"/>
      <x:c r="O18" s="304"/>
      <x:c r="P18" s="302"/>
      <x:c r="Q18" s="303"/>
      <x:c r="R18" s="304"/>
    </x:row>
    <x:row r="19" ht="23" customHeight="1">
      <x:c r="A19" s="239" t="str">
        <x:v>美国东部交易日</x:v>
      </x:c>
      <x:c r="B19" s="240"/>
      <x:c r="C19" s="241"/>
      <x:c r="D19" s="171" t="str">
        <x:v>百万美元 · 完整交易日</x:v>
      </x:c>
      <x:c r="E19" s="172"/>
      <x:c r="F19" s="173"/>
      <x:c r="G19" s="284" t="str">
        <x:v>UNI · 无合格产品</x:v>
      </x:c>
      <x:c r="H19" s="285"/>
      <x:c r="I19" s="286"/>
      <x:c r="J19" s="171" t="str">
        <x:v>只 · 已确认产品</x:v>
      </x:c>
      <x:c r="K19" s="172"/>
      <x:c r="L19" s="173"/>
      <x:c r="M19" s="171" t="str">
        <x:v>USD · 协议约值</x:v>
      </x:c>
      <x:c r="N19" s="172"/>
      <x:c r="O19" s="173"/>
      <x:c r="P19" s="171" t="str">
        <x:v>USD · 协议约值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8" t="str">
        <x:v>  近7个完整 UTC 日收盘价</x:v>
      </x:c>
      <x:c r="B21" s="309"/>
      <x:c r="C21" s="309"/>
      <x:c r="D21" s="309"/>
      <x:c r="E21" s="309"/>
      <x:c r="F21" s="310"/>
      <x:c r="G21" s="308" t="str">
        <x:v>  逐日收盘变动</x:v>
      </x:c>
      <x:c r="H21" s="309"/>
      <x:c r="I21" s="309"/>
      <x:c r="J21" s="309"/>
      <x:c r="K21" s="309"/>
      <x:c r="L21" s="310"/>
      <x:c r="M21" s="308" t="str">
        <x:v>  ETF 适用范围与协议数据</x:v>
      </x:c>
      <x:c r="N21" s="309"/>
      <x:c r="O21" s="309"/>
      <x:c r="P21" s="309"/>
      <x:c r="Q21" s="309"/>
      <x:c r="R21" s="310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314" t="str">
        <x:v>无已确认合格 ETF 产品</x:v>
      </x:c>
      <x:c r="N23" s="315"/>
      <x:c r="O23" s="315"/>
      <x:c r="P23" s="315"/>
      <x:c r="Q23" s="315"/>
      <x:c r="R23" s="316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314"/>
      <x:c r="N24" s="315"/>
      <x:c r="O24" s="315"/>
      <x:c r="P24" s="315"/>
      <x:c r="Q24" s="315"/>
      <x:c r="R24" s="316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130"/>
      <x:c r="N25" s="126"/>
      <x:c r="O25" s="126"/>
      <x:c r="P25" s="126"/>
      <x:c r="Q25" s="126"/>
      <x:c r="R25" s="131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320" t="str">
        <x:v>美国现货产品：未确认</x:v>
      </x:c>
      <x:c r="N26" s="321"/>
      <x:c r="O26" s="321"/>
      <x:c r="P26" s="321"/>
      <x:c r="Q26" s="321"/>
      <x:c r="R26" s="322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20"/>
      <x:c r="N27" s="321"/>
      <x:c r="O27" s="321"/>
      <x:c r="P27" s="321"/>
      <x:c r="Q27" s="321"/>
      <x:c r="R27" s="322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130"/>
      <x:c r="N29" s="126"/>
      <x:c r="O29" s="126"/>
      <x:c r="P29" s="126"/>
      <x:c r="Q29" s="126"/>
      <x:c r="R29" s="131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32" t="str">
        <x:v>协议 DEX 7d</x:v>
      </x:c>
      <x:c r="N30" s="333"/>
      <x:c r="O30" s="333"/>
      <x:c r="P30" s="334" t="n">
        <x:f>'链上与动态'!B6</x:f>
        <x:v>15184000000</x:v>
      </x:c>
      <x:c r="Q30" s="334"/>
      <x:c r="R30" s="335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36"/>
      <x:c r="N31" s="337"/>
      <x:c r="O31" s="337"/>
      <x:c r="P31" s="334"/>
      <x:c r="Q31" s="334"/>
      <x:c r="R31" s="335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323"/>
      <x:c r="N32" s="324"/>
      <x:c r="O32" s="324"/>
      <x:c r="P32" s="324"/>
      <x:c r="Q32" s="324"/>
      <x:c r="R32" s="325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41" t="str">
        <x:v>美元净流量不等于原生币持仓变化</x:v>
      </x:c>
      <x:c r="N33" s="342"/>
      <x:c r="O33" s="342"/>
      <x:c r="P33" s="342"/>
      <x:c r="Q33" s="342"/>
      <x:c r="R33" s="343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8" t="str">
        <x:v>  美国现货 UNI ETF 产品明细  ·  持仓日期逐只标注  ·  流量 不适用 美东</x:v>
      </x:c>
      <x:c r="B36" s="309"/>
      <x:c r="C36" s="309"/>
      <x:c r="D36" s="309"/>
      <x:c r="E36" s="309"/>
      <x:c r="F36" s="309"/>
      <x:c r="G36" s="309"/>
      <x:c r="H36" s="309"/>
      <x:c r="I36" s="309"/>
      <x:c r="J36" s="309"/>
      <x:c r="K36" s="309"/>
      <x:c r="L36" s="309"/>
      <x:c r="M36" s="309"/>
      <x:c r="N36" s="309"/>
      <x:c r="O36" s="309"/>
      <x:c r="P36" s="309"/>
      <x:c r="Q36" s="309"/>
      <x:c r="R36" s="310"/>
    </x:row>
    <x:row r="37" ht="29" customHeight="1">
      <x:c r="A37" s="34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UNI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9"/>
    </x:row>
    <x:row r="38" ht="34" customHeight="1">
      <x:c r="A38" s="332" t="str">
        <x:v>美国现货 ETF：未确认合格产品</x:v>
      </x:c>
      <x:c r="B38" s="333"/>
      <x:c r="C38" s="333"/>
      <x:c r="D38" s="333"/>
      <x:c r="E38" s="333"/>
      <x:c r="F38" s="333"/>
      <x:c r="G38" s="355" t="str">
        <x:v>不适用</x:v>
      </x:c>
      <x:c r="H38" s="333"/>
      <x:c r="I38" s="333"/>
      <x:c r="J38" s="333"/>
      <x:c r="K38" s="333" t="str">
        <x:v>ETF 净流量 · 不适用 美东</x:v>
      </x:c>
      <x:c r="L38" s="333"/>
      <x:c r="M38" s="333"/>
      <x:c r="N38" s="333"/>
      <x:c r="O38" s="333"/>
      <x:c r="P38" s="356" t="str">
        <x:v>待披露</x:v>
      </x:c>
      <x:c r="Q38" s="333"/>
      <x:c r="R38" s="357"/>
    </x:row>
    <x:row r="39" ht="23" customHeight="1">
      <x:c r="A39" s="338" t="str">
        <x:v>口径：样本小计仅含同日产品；异日持仓只逐只展示；ETF 美元资金流不等于原生币增减。</x:v>
      </x:c>
      <x:c r="B39" s="339"/>
      <x:c r="C39" s="339"/>
      <x:c r="D39" s="339"/>
      <x:c r="E39" s="339"/>
      <x:c r="F39" s="339"/>
      <x:c r="G39" s="339"/>
      <x:c r="H39" s="339"/>
      <x:c r="I39" s="339"/>
      <x:c r="J39" s="339"/>
      <x:c r="K39" s="339"/>
      <x:c r="L39" s="339"/>
      <x:c r="M39" s="339"/>
      <x:c r="N39" s="339"/>
      <x:c r="O39" s="339"/>
      <x:c r="P39" s="339"/>
      <x:c r="Q39" s="339"/>
      <x:c r="R39" s="340"/>
    </x:row>
    <x:row r="40" ht="23" customHeight="1">
      <x:c r="A40" s="338" t="str">
        <x:v>0.0 表示来源明确披露零流量；“未披露”或“未核实”表示缺失，不能填零。</x:v>
      </x:c>
      <x:c r="B40" s="339"/>
      <x:c r="C40" s="339"/>
      <x:c r="D40" s="339"/>
      <x:c r="E40" s="339"/>
      <x:c r="F40" s="339"/>
      <x:c r="G40" s="339"/>
      <x:c r="H40" s="339"/>
      <x:c r="I40" s="339"/>
      <x:c r="J40" s="339"/>
      <x:c r="K40" s="339"/>
      <x:c r="L40" s="339"/>
      <x:c r="M40" s="339"/>
      <x:c r="N40" s="339"/>
      <x:c r="O40" s="339"/>
      <x:c r="P40" s="339"/>
      <x:c r="Q40" s="339"/>
      <x:c r="R40" s="340"/>
    </x:row>
    <x:row r="41" ht="23" customHeight="1">
      <x:c r="A41" s="144" t="str">
        <x:v>费率为公开标示年费率，未计临时减免或质押分成；逐只来源、可编辑数据见「持仓录入」。</x:v>
      </x:c>
      <x:c r="B41" s="145"/>
      <x:c r="C41" s="145"/>
      <x:c r="D41" s="145"/>
      <x:c r="E41" s="145"/>
      <x:c r="F41" s="145"/>
      <x:c r="G41" s="145"/>
      <x:c r="H41" s="145"/>
      <x:c r="I41" s="145"/>
      <x:c r="J41" s="145"/>
      <x:c r="K41" s="145"/>
      <x:c r="L41" s="145"/>
      <x:c r="M41" s="145"/>
      <x:c r="N41" s="145"/>
      <x:c r="O41" s="145"/>
      <x:c r="P41" s="145"/>
      <x:c r="Q41" s="145"/>
      <x:c r="R41" s="146"/>
    </x:row>
    <x:row r="42" ht="23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</x:row>
    <x:row r="43" ht="23" customHeight="1">
      <x:c r="A43" s="358" t="str">
        <x:v>行情观察 12:25 北京时间｜收盘截至 2026-10-17 UTC｜持仓样本 待核实 美东（逐只日期见表）｜流量 不适用 美东</x:v>
      </x:c>
      <x:c r="B43" s="358"/>
      <x:c r="C43" s="358"/>
      <x:c r="D43" s="358"/>
      <x:c r="E43" s="358"/>
      <x:c r="F43" s="358"/>
      <x:c r="G43" s="358"/>
      <x:c r="H43" s="358"/>
      <x:c r="I43" s="358"/>
      <x:c r="J43" s="358"/>
      <x:c r="K43" s="358"/>
      <x:c r="L43" s="358"/>
      <x:c r="M43" s="358"/>
      <x:c r="N43" s="358"/>
      <x:c r="O43" s="358"/>
      <x:c r="P43" s="358"/>
      <x:c r="Q43" s="358"/>
      <x:c r="R43" s="358"/>
    </x:row>
    <x:row r="44" ht="23" customHeight="1">
      <x:c r="A44" s="358" t="str">
        <x:v>原始行情采集 2026-10-18T12:27:06+08:00｜本次产品明细核验 2026-10-18T12:32:34+08:00</x:v>
      </x:c>
      <x:c r="B44" s="358"/>
      <x:c r="C44" s="358"/>
      <x:c r="D44" s="358"/>
      <x:c r="E44" s="358"/>
      <x:c r="F44" s="358"/>
      <x:c r="G44" s="358"/>
      <x:c r="H44" s="358"/>
      <x:c r="I44" s="358"/>
      <x:c r="J44" s="358"/>
      <x:c r="K44" s="358"/>
      <x:c r="L44" s="358"/>
      <x:c r="M44" s="358"/>
      <x:c r="N44" s="358"/>
      <x:c r="O44" s="358"/>
      <x:c r="P44" s="358"/>
      <x:c r="Q44" s="358"/>
      <x:c r="R44" s="358"/>
    </x:row>
    <x:row r="45" ht="23" customHeight="1">
      <x:c r="A45" s="358" t="str">
        <x:v>行情、ETF 持仓、美元流量和链上指标属于不同口径，均按各自来源日期展示。</x:v>
      </x:c>
      <x:c r="B45" s="358"/>
      <x:c r="C45" s="358"/>
      <x:c r="D45" s="358"/>
      <x:c r="E45" s="358"/>
      <x:c r="F45" s="358"/>
      <x:c r="G45" s="358"/>
      <x:c r="H45" s="358"/>
      <x:c r="I45" s="358"/>
      <x:c r="J45" s="358"/>
      <x:c r="K45" s="358"/>
      <x:c r="L45" s="358"/>
      <x:c r="M45" s="358"/>
      <x:c r="N45" s="358"/>
      <x:c r="O45" s="358"/>
      <x:c r="P45" s="358"/>
      <x:c r="Q45" s="358"/>
      <x:c r="R45" s="358"/>
    </x:row>
    <x:row r="46" ht="23" customHeight="1">
      <x:c r="A46" s="358" t="str">
        <x:v>产品链接、费率与流量来源见「持仓录入」；价格历史见「行情与资金流」；链上数据见「链上与动态」。</x:v>
      </x:c>
      <x:c r="B46" s="358"/>
      <x:c r="C46" s="358"/>
      <x:c r="D46" s="358"/>
      <x:c r="E46" s="358"/>
      <x:c r="F46" s="358"/>
      <x:c r="G46" s="358"/>
      <x:c r="H46" s="358"/>
      <x:c r="I46" s="358"/>
      <x:c r="J46" s="358"/>
      <x:c r="K46" s="358"/>
      <x:c r="L46" s="358"/>
      <x:c r="M46" s="358"/>
      <x:c r="N46" s="358"/>
      <x:c r="O46" s="358"/>
      <x:c r="P46" s="358"/>
      <x:c r="Q46" s="358"/>
      <x:c r="R46" s="358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</x:row>
    <x:row r="49" ht="23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F38"/>
    <x:mergeCell ref="G38:J38"/>
    <x:mergeCell ref="K38:O38"/>
    <x:mergeCell ref="P38:R38"/>
    <x:mergeCell ref="A39:R39"/>
    <x:mergeCell ref="A40:R40"/>
    <x:mergeCell ref="A41:R41"/>
    <x:mergeCell ref="A43:R43"/>
    <x:mergeCell ref="A44:R44"/>
    <x:mergeCell ref="A45:R45"/>
    <x:mergeCell ref="A46:R46"/>
  </x:mergeCells>
  <x:pageMargins left="0.7" right="0.7" top="0.75" bottom="0.75" header="0.3" footer="0.3"/>
  <x:drawing xmlns:r="http://schemas.openxmlformats.org/officeDocument/2006/relationships" r:id="Rbdb6b00d736941f5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UNI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(UNI)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UNI</x:v>
      </x:c>
      <x:c r="C7" s="8" t="str">
        <x:v>日变化 UNI</x:v>
      </x:c>
      <x:c r="D7" s="8" t="str">
        <x:v>由持仓差计算</x:v>
      </x:c>
      <x:c r="E7" s="8" t="str">
        <x:v>差额 UNI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UNI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2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/>
      <x:c r="G18" s="1"/>
      <x:c r="H18" s="4"/>
      <x:c r="I18" s="16"/>
      <x:c r="J18" s="37"/>
      <x:c r="K18" s="38"/>
      <x:c r="L18" s="1"/>
      <x:c r="M18" s="1"/>
      <x:c r="N18" s="1"/>
      <x:c r="O18" s="1"/>
      <x:c r="P18" s="1"/>
      <x:c r="Q18" s="36"/>
    </x:row>
    <x:row r="19" ht="28" customHeight="1">
      <x:c r="A19" s="26"/>
      <x:c r="B19" s="26"/>
      <x:c r="C19" s="35"/>
      <x:c r="D19" s="1"/>
      <x:c r="E19" s="1"/>
      <x:c r="F19" s="15"/>
      <x:c r="G19" s="9"/>
      <x:c r="H19" s="10"/>
      <x:c r="I19" s="17"/>
      <x:c r="J19" s="37"/>
      <x:c r="K19" s="38"/>
      <x:c r="L19" s="1"/>
      <x:c r="M19" s="1"/>
      <x:c r="N19" s="1"/>
      <x:c r="O19" s="1"/>
      <x:c r="P19" s="1"/>
      <x:c r="Q19" s="36"/>
    </x:row>
    <x:row r="20" ht="28" customHeight="1">
      <x:c r="A20" s="24"/>
      <x:c r="B20" s="24"/>
      <x:c r="C20" s="34"/>
      <x:c r="D20" s="1"/>
      <x:c r="E20" s="1"/>
      <x:c r="F20" s="14"/>
      <x:c r="G20" s="1"/>
      <x:c r="H20" s="4"/>
      <x:c r="I20" s="16"/>
      <x:c r="J20" s="37"/>
      <x:c r="K20" s="38"/>
      <x:c r="L20" s="1"/>
      <x:c r="M20" s="1"/>
      <x:c r="N20" s="1"/>
      <x:c r="O20" s="1"/>
      <x:c r="P20" s="1"/>
      <x:c r="Q20" s="36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8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8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8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8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8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8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8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8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8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2" t="str">
        <x:v>产品清单仅说明统计范围。
持仓总量与净变化待完整披露。</x:v>
      </x:c>
      <x:c r="G31" s="42"/>
      <x:c r="H31" s="42"/>
      <x:c r="I31" s="42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2"/>
      <x:c r="G32" s="42"/>
      <x:c r="H32" s="42"/>
      <x:c r="I32" s="42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2"/>
      <x:c r="G33" s="42"/>
      <x:c r="H33" s="42"/>
      <x:c r="I33" s="42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4" t="str">
        <x:v>注意：仅确认现货产品范围；缺少同交易日完整发行商披露，不计算合计持仓与变化。</x:v>
      </x:c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UNI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12:27:06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5" t="n">
        <x:v>7.27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6" t="n">
        <x:v>-0.0036069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7" t="n">
        <x:v>272572440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7" t="n">
        <x:v>4541082391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6" t="n">
        <x:v>-0.045438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UNI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28" customHeight="1">
      <x:c r="A11" s="50" t="str">
        <x:v>当前未取得可核验的逐日 ETF 美元净资金流。
缺失数据不作零处理。</x:v>
      </x:c>
      <x:c r="B11" s="51"/>
      <x:c r="C11" s="1"/>
      <x:c r="D11" s="14" t="str">
        <x:v>10-11</x:v>
      </x:c>
      <x:c r="E11" s="47" t="n">
        <x:v>7.583577</x:v>
      </x:c>
      <x:c r="F11" s="1"/>
      <x:c r="G11" s="1" t="str">
        <x:v>即时行情</x:v>
      </x:c>
      <x:c r="H11" s="1" t="str">
        <x:v>https://api.coingecko.com/api/v3/coins/markets?vs_currency=usd&amp;ids=uniswap%2Czcash&amp;price_change_percentage=7d</x:v>
      </x:c>
      <x:c r="I11" s="1"/>
      <x:c r="J11" s="1"/>
      <x:c r="K11" s="1"/>
      <x:c r="L11" s="1" t="str">
        <x:f>D12</x:f>
        <x:v>10-12</x:v>
      </x:c>
      <x:c r="M11" s="52" t="n">
        <x:f>MAX(E12/E11-1,0)</x:f>
        <x:v>0.023874881207113674</x:v>
      </x:c>
      <x:c r="N11" s="52" t="n">
        <x:f>MIN(E12/E11-1,0)</x:f>
        <x:v>0</x:v>
      </x:c>
    </x:row>
    <x:row r="12" ht="28" customHeight="1">
      <x:c r="A12" s="50"/>
      <x:c r="B12" s="51"/>
      <x:c r="C12" s="1"/>
      <x:c r="D12" s="14" t="str">
        <x:v>10-12</x:v>
      </x:c>
      <x:c r="E12" s="47" t="n">
        <x:v>7.764634</x:v>
      </x:c>
      <x:c r="F12" s="1"/>
      <x:c r="G12" s="1" t="str">
        <x:v>价格历史</x:v>
      </x:c>
      <x:c r="H12" s="1" t="str">
        <x:v>https://api.coingecko.com/api/v3/coins/uniswap/market_chart?vs_currency=usd&amp;days=8&amp;interval=daily</x:v>
      </x:c>
      <x:c r="I12" s="1"/>
      <x:c r="J12" s="1"/>
      <x:c r="K12" s="1"/>
      <x:c r="L12" s="1" t="str">
        <x:f>D13</x:f>
        <x:v>10-13</x:v>
      </x:c>
      <x:c r="M12" s="52" t="n">
        <x:f>MAX(E13/E12-1,0)</x:f>
        <x:v>0</x:v>
      </x:c>
      <x:c r="N12" s="52" t="n">
        <x:f>MIN(E13/E12-1,0)</x:f>
        <x:v>-0.10196951974812984</x:v>
      </x:c>
    </x:row>
    <x:row r="13" ht="28" customHeight="1">
      <x:c r="A13" s="50"/>
      <x:c r="B13" s="51"/>
      <x:c r="C13" s="1"/>
      <x:c r="D13" s="14" t="str">
        <x:v>10-13</x:v>
      </x:c>
      <x:c r="E13" s="47" t="n">
        <x:v>6.972878</x:v>
      </x:c>
      <x:c r="F13" s="1"/>
      <x:c r="G13" s="1" t="str">
        <x:v>ETF资金流</x:v>
      </x:c>
      <x:c r="H13" s="1" t="str">
        <x:v>无已确认合格产品；不适用</x:v>
      </x:c>
      <x:c r="I13" s="1"/>
      <x:c r="J13" s="1"/>
      <x:c r="K13" s="1"/>
      <x:c r="L13" s="1" t="str">
        <x:f>D14</x:f>
        <x:v>10-14</x:v>
      </x:c>
      <x:c r="M13" s="52" t="n">
        <x:f>MAX(E14/E13-1,0)</x:f>
        <x:v>0.08083219009424814</x:v>
      </x:c>
      <x:c r="N13" s="52" t="n">
        <x:f>MIN(E14/E13-1,0)</x:f>
        <x:v>0</x:v>
      </x:c>
    </x:row>
    <x:row r="14" ht="28" customHeight="1">
      <x:c r="A14" s="50"/>
      <x:c r="B14" s="51"/>
      <x:c r="C14" s="1"/>
      <x:c r="D14" s="14" t="str">
        <x:v>10-14</x:v>
      </x:c>
      <x:c r="E14" s="47" t="n">
        <x:v>7.536511</x:v>
      </x:c>
      <x:c r="F14" s="1"/>
      <x:c r="G14" s="1" t="str">
        <x:v>产品范围</x:v>
      </x:c>
      <x:c r="H14" s="1" t="str">
        <x:v>未确认符合美国现货 ETF 口径的产品；排除项见来源页</x:v>
      </x:c>
      <x:c r="I14" s="1"/>
      <x:c r="J14" s="1"/>
      <x:c r="K14" s="1"/>
      <x:c r="L14" s="1" t="str">
        <x:f>D15</x:f>
        <x:v>10-15</x:v>
      </x:c>
      <x:c r="M14" s="52" t="n">
        <x:f>MAX(E15/E14-1,0)</x:f>
        <x:v>0</x:v>
      </x:c>
      <x:c r="N14" s="52" t="n">
        <x:f>MIN(E15/E14-1,0)</x:f>
        <x:v>-0.046352085202290505</x:v>
      </x:c>
    </x:row>
    <x:row r="15" ht="28" customHeight="1">
      <x:c r="A15" s="50"/>
      <x:c r="B15" s="51"/>
      <x:c r="C15" s="1"/>
      <x:c r="D15" s="14" t="str">
        <x:v>10-15</x:v>
      </x:c>
      <x:c r="E15" s="47" t="n">
        <x:v>7.187178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D16</x:f>
        <x:v>10-16</x:v>
      </x:c>
      <x:c r="M15" s="52" t="n">
        <x:f>MAX(E16/E15-1,0)</x:f>
        <x:v>0.032916535530356894</x:v>
      </x:c>
      <x:c r="N15" s="52" t="n">
        <x:f>MIN(E16/E15-1,0)</x:f>
        <x:v>0</x:v>
      </x:c>
    </x:row>
    <x:row r="16" ht="28" customHeight="1">
      <x:c r="A16" s="50"/>
      <x:c r="B16" s="51"/>
      <x:c r="C16" s="1"/>
      <x:c r="D16" s="14" t="str">
        <x:v>10-16</x:v>
      </x:c>
      <x:c r="E16" s="47" t="n">
        <x:v>7.423755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10-17</x:v>
      </x:c>
      <x:c r="M16" s="52" t="n">
        <x:f>MAX(E17/E16-1,0)</x:f>
        <x:v>0</x:v>
      </x:c>
      <x:c r="N16" s="52" t="n">
        <x:f>MIN(E17/E16-1,0)</x:f>
        <x:v>-0.013085695850684753</x:v>
      </x:c>
    </x:row>
    <x:row r="17" ht="28" customHeight="1">
      <x:c r="A17" s="50"/>
      <x:c r="B17" s="51"/>
      <x:c r="C17" s="1"/>
      <x:c r="D17" s="14" t="str">
        <x:v>10-17</x:v>
      </x:c>
      <x:c r="E17" s="47" t="n">
        <x:v>7.32661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4" t="str">
        <x:v>资金净流入以美元计，不等于 ETF 原生 UNI 持仓变化；不同来源更新时间不能混用。</x:v>
      </x:c>
      <x:c r="B19" s="44"/>
      <x:c r="C19" s="44"/>
      <x:c r="D19" s="44"/>
      <x:c r="E19" s="44"/>
      <x:c r="F19" s="44"/>
      <x:c r="G19" s="44"/>
      <x:c r="H19" s="44"/>
      <x:c r="I19" s="44"/>
      <x:c r="J19" s="44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3" t="str">
        <x:v>最近完整交易日产品贡献 · 待披露 美东</x:v>
      </x:c>
      <x:c r="B21" s="53"/>
      <x:c r="C21" s="53"/>
      <x:c r="D21" s="53"/>
      <x:c r="E21" s="53"/>
      <x:c r="F21" s="53"/>
      <x:c r="G21" s="53"/>
      <x:c r="H21" s="53"/>
      <x:c r="I21" s="53"/>
      <x:c r="J21" s="53"/>
      <x:c r="K21" s="1"/>
      <x:c r="L21" s="1"/>
      <x:c r="M21" s="1"/>
      <x:c r="N21" s="1"/>
    </x:row>
    <x:row r="22" ht="28" customHeight="1">
      <x:c r="A22" s="54" t="str">
        <x:v>产品</x:v>
      </x:c>
      <x:c r="B22" s="5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57" t="str">
        <x:v>当前未取得可核验的产品资金流明细。</x:v>
      </x:c>
      <x:c r="B23" s="57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57"/>
      <x:c r="B24" s="57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57"/>
      <x:c r="B25" s="57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57"/>
      <x:c r="B26" s="57"/>
      <x:c r="C26" s="1"/>
      <x:c r="D26" s="58" t="str">
        <x:v>资金流未取得完整来源；空白并非零。</x:v>
      </x:c>
      <x:c r="E26" s="58"/>
      <x:c r="F26" s="58"/>
      <x:c r="G26" s="58"/>
      <x:c r="H26" s="58"/>
      <x:c r="I26" s="58"/>
      <x:c r="J26" s="58"/>
      <x:c r="K26" s="1"/>
      <x:c r="L26" s="1"/>
      <x:c r="M26" s="1"/>
      <x:c r="N26" s="1"/>
    </x:row>
    <x:row r="27" ht="28" customHeight="1">
      <x:c r="A27" s="1"/>
      <x:c r="B27" s="1"/>
      <x:c r="C27" s="1"/>
      <x:c r="D27" s="58"/>
      <x:c r="E27" s="58"/>
      <x:c r="F27" s="58"/>
      <x:c r="G27" s="58"/>
      <x:c r="H27" s="58"/>
      <x:c r="I27" s="58"/>
      <x:c r="J27" s="58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UNI 协议指标与重要动态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协议指标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Uniswap 协议 TVL（约）</x:v>
      </x:c>
      <x:c r="B4" s="59" t="n">
        <x:v>3894000000</x:v>
      </x:c>
      <x:c r="C4" s="14" t="str">
        <x:v>USD</x:v>
      </x:c>
      <x:c r="D4" s="60" t="str">
        <x:v>2026-10-18 12:27 北京时间观察</x:v>
      </x:c>
      <x:c r="E4" s="36" t="str">
        <x:v>多链 Uniswap 协议锁仓值；页面未注明精确采样时刻；缩写数值换算，属于约值，非 UNI 代币收入</x:v>
      </x:c>
      <x:c r="F4" s="36" t="str">
        <x:v>https://investors.defillama.com/protocol/uniswap?events=false&amp;fdv=true&amp;tvl=false</x:v>
      </x:c>
      <x:c r="G4" s="1"/>
      <x:c r="H4" s="1"/>
    </x:row>
    <x:row r="5" ht="55" customHeight="1">
      <x:c r="A5" s="1" t="str">
        <x:v>Uniswap 协议 DEX 成交额 24h（约）</x:v>
      </x:c>
      <x:c r="B5" s="59" t="n">
        <x:v>1196000000</x:v>
      </x:c>
      <x:c r="C5" s="14" t="str">
        <x:v>USD</x:v>
      </x:c>
      <x:c r="D5" s="60" t="str">
        <x:v>2026-10-18 12:27 北京时间观察</x:v>
      </x:c>
      <x:c r="E5" s="36" t="str">
        <x:v>多链 Uniswap 协议滚动24小时现货 DEX 成交额；页面未注明精确采样时刻；缩写数值换算，属于约值，非 UNI 代币收入</x:v>
      </x:c>
      <x:c r="F5" s="36" t="str">
        <x:v>https://investors.defillama.com/protocol/uniswap?events=false&amp;fdv=true&amp;tvl=false</x:v>
      </x:c>
      <x:c r="G5" s="1"/>
      <x:c r="H5" s="1"/>
    </x:row>
    <x:row r="6" ht="55" customHeight="1">
      <x:c r="A6" s="1" t="str">
        <x:v>Uniswap 协议 DEX 成交额 7d（约）</x:v>
      </x:c>
      <x:c r="B6" s="59" t="n">
        <x:v>15184000000</x:v>
      </x:c>
      <x:c r="C6" s="14" t="str">
        <x:v>USD</x:v>
      </x:c>
      <x:c r="D6" s="60" t="str">
        <x:v>2026-10-18 12:27 北京时间观察</x:v>
      </x:c>
      <x:c r="E6" s="36" t="str">
        <x:v>多链 Uniswap 协议滚动7天现货 DEX 成交额；页面未注明精确采样时刻；缩写数值换算，属于约值，非 UNI 代币收入</x:v>
      </x:c>
      <x:c r="F6" s="36" t="str">
        <x:v>https://investors.defillama.com/protocol/uniswap?events=false&amp;fdv=true&amp;tvl=false</x:v>
      </x:c>
      <x:c r="G6" s="1"/>
      <x:c r="H6" s="1"/>
    </x:row>
    <x:row r="7" ht="29" customHeight="1">
      <x:c r="A7" s="1"/>
      <x:c r="B7" s="59"/>
      <x:c r="C7" s="14"/>
      <x:c r="D7" s="60"/>
      <x:c r="E7" s="36"/>
      <x:c r="F7" s="36"/>
      <x:c r="G7" s="1"/>
      <x:c r="H7" s="1"/>
    </x:row>
    <x:row r="8" ht="29" customHeight="1">
      <x:c r="A8" s="1"/>
      <x:c r="B8" s="59"/>
      <x:c r="C8" s="14"/>
      <x:c r="D8" s="60"/>
      <x:c r="E8" s="36"/>
      <x:c r="F8" s="36"/>
      <x:c r="G8" s="1"/>
      <x:c r="H8" s="1"/>
    </x:row>
    <x:row r="9" ht="29" customHeight="1">
      <x:c r="A9" s="8" t="str">
        <x:v>重要动态</x:v>
      </x:c>
      <x:c r="B9" s="68" t="str">
        <x:v>事件日期</x:v>
      </x:c>
      <x:c r="C9" s="8" t="str">
        <x:v>发布日期</x:v>
      </x:c>
      <x:c r="D9" s="66" t="str">
        <x:v>核验状态</x:v>
      </x:c>
      <x:c r="E9" s="66" t="str">
        <x:v>摘要</x:v>
      </x:c>
      <x:c r="F9" s="66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9"/>
      <x:c r="C10" s="14"/>
      <x:c r="D10" s="60"/>
      <x:c r="E10" s="36"/>
      <x:c r="F10" s="36"/>
      <x:c r="G10" s="1"/>
      <x:c r="H10" s="1"/>
    </x:row>
    <x:row r="11" ht="29" customHeight="1">
      <x:c r="A11" s="36"/>
      <x:c r="B11" s="59"/>
      <x:c r="C11" s="14"/>
      <x:c r="D11" s="60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0" t="str">
        <x:v>数据口径：Uniswap 协议跨多条链，协议 TVL 和 DEX 交易额不是 UNI 链指标或代币持有人收入。</x:v>
      </x:c>
      <x:c r="B13" s="44"/>
      <x:c r="C13" s="44"/>
      <x:c r="D13" s="44"/>
      <x:c r="E13" s="70"/>
      <x:c r="F13" s="44"/>
      <x:c r="G13" s="44"/>
      <x:c r="H13" s="44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1" t="str">
        <x:v>来源与产品范围核验</x:v>
      </x:c>
      <x:c r="B15" s="72"/>
      <x:c r="C15" s="72"/>
      <x:c r="D15" s="72"/>
      <x:c r="E15" s="71"/>
      <x:c r="F15" s="72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https://api.coingecko.com/api/v3/coins/markets?vs_currency=usd&amp;ids=uniswap%2Czcash&amp;price_change_percentage=7d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73" t="str">
        <x:v>DefiLlama Uniswap protocol</x:v>
      </x:c>
      <x:c r="B17" s="9" t="str">
        <x:v>https://investors.defillama.com/protocol/uniswap?events=false&amp;fdv=true&amp;tvl=false</x:v>
      </x:c>
      <x:c r="C17" s="9"/>
      <x:c r="D17" s="9"/>
      <x:c r="E17" s="73"/>
      <x:c r="F17" s="9"/>
      <x:c r="G17" s="1"/>
      <x:c r="H17" s="1"/>
    </x:row>
    <x:row r="18" ht="32" customHeight="1">
      <x:c r="A18" s="1" t="str">
        <x:v>21Shares AUNI (excluded European ETP)</x:v>
      </x:c>
      <x:c r="B18" s="1" t="str">
        <x:v>https://www.21shares.com/en-uk/product/auni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Bitwise Uniswap Fund (excluded private fund)</x:v>
      </x:c>
      <x:c r="B19" s="9" t="str">
        <x:v>https://bitwiseinvestments.com/crypto-funds/uniswap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</x:mergeCells>
  <x:pageMargins left="0.7" right="0.7" top="0.75" bottom="0.75" header="0.3" footer="0.3"/>
</x:worksheet>
</file>