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e0a01d3ce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C日报" sheetId="1" r:id="Rc8e9361e8b8f4f13"/>
    <x:sheet xmlns:r="http://schemas.openxmlformats.org/officeDocument/2006/relationships" name="持仓录入" sheetId="2" r:id="R78eb491c340344d9"/>
    <x:sheet xmlns:r="http://schemas.openxmlformats.org/officeDocument/2006/relationships" name="行情与资金流" sheetId="3" r:id="R365ac0dcaf794b2d"/>
    <x:sheet xmlns:r="http://schemas.openxmlformats.org/officeDocument/2006/relationships" name="链上与动态" sheetId="4" r:id="R92e19a934132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7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7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09" fontId="17" fillId="2" borderId="4" xfId="0" applyNumberFormat="1" applyFont="1" applyFill="1" applyBorder="1"/>
    <x:xf numFmtId="209" fontId="17" fillId="2" borderId="0" xfId="0" applyNumberFormat="1" applyFont="1" applyFill="1" applyBorder="1"/>
    <x:xf numFmtId="209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09" fontId="17" fillId="2" borderId="4" xfId="0" applyNumberFormat="1" applyFont="1" applyFill="1" applyBorder="1" applyAlignment="1">
      <x:alignment horizontal="center"/>
    </x:xf>
    <x:xf numFmtId="209" fontId="17" fillId="2" borderId="0" xfId="0" applyNumberFormat="1" applyFont="1" applyFill="1" applyBorder="1" applyAlignment="1">
      <x:alignment horizontal="center"/>
    </x:xf>
    <x:xf numFmtId="209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09" fontId="17" fillId="2" borderId="4" xfId="0" applyNumberFormat="1" applyFont="1" applyFill="1" applyBorder="1" applyAlignment="1">
      <x:alignment horizontal="center" vertical="center"/>
    </x:xf>
    <x:xf numFmtId="209" fontId="17" fillId="2" borderId="0" xfId="0" applyNumberFormat="1" applyFont="1" applyFill="1" applyBorder="1" applyAlignment="1">
      <x:alignment horizontal="center" vertical="center"/>
    </x:xf>
    <x:xf numFmtId="209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4" fillId="7" borderId="0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8" fillId="5" borderId="4" xfId="0" applyNumberFormat="1" applyFont="1" applyFill="1" applyBorder="1"/>
    <x:xf numFmtId="208" fontId="25" fillId="5" borderId="0" xfId="0" applyNumberFormat="1" applyFont="1" applyFill="1" applyBorder="1"/>
    <x:xf numFmtId="208" fontId="25" fillId="5" borderId="5" xfId="0" applyNumberFormat="1" applyFont="1" applyFill="1" applyBorder="1"/>
    <x:xf numFmtId="0" fontId="8" fillId="5" borderId="4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208" fontId="25" fillId="5" borderId="0" xfId="0" applyNumberFormat="1" applyFont="1" applyFill="1" applyBorder="1" applyAlignment="1">
      <x:alignment horizontal="center"/>
    </x:xf>
    <x:xf numFmtId="208" fontId="25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27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7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444f947a24454" /><Relationship Type="http://schemas.openxmlformats.org/officeDocument/2006/relationships/theme" Target="/xl/theme/theme1.xml" Id="Rd77413b42fb44c26" /><Relationship Type="http://schemas.openxmlformats.org/officeDocument/2006/relationships/sharedStrings" Target="/xl/sharedStrings.xml" Id="Re06d70a2a84b4fbc" /><Relationship Type="http://schemas.openxmlformats.org/officeDocument/2006/relationships/worksheet" Target="/xl/worksheets/sheet1.xml" Id="Rc8e9361e8b8f4f13" /><Relationship Type="http://schemas.openxmlformats.org/officeDocument/2006/relationships/worksheet" Target="/xl/worksheets/sheet2.xml" Id="R78eb491c340344d9" /><Relationship Type="http://schemas.openxmlformats.org/officeDocument/2006/relationships/worksheet" Target="/xl/worksheets/sheet3.xml" Id="R365ac0dcaf794b2d" /><Relationship Type="http://schemas.openxmlformats.org/officeDocument/2006/relationships/worksheet" Target="/xl/worksheets/sheet4.xml" Id="R92e19a9341324a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90527f46c44d94" /><Relationship Type="http://schemas.openxmlformats.org/officeDocument/2006/relationships/chart" Target="/xl/drawings/charts/chart2.xml" Id="R5f37c5acdf3147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ZEC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ZEC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90527f46c44d94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37c5acdf3147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3e80e262b84c68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3" t="str">
        <x:v>  CRYPTO CHARTING  /  DAILY INTELLIGENCE</x:v>
      </x:c>
      <x:c r="B2" s="73"/>
      <x:c r="C2" s="73"/>
      <x:c r="D2" s="73"/>
      <x:c r="E2" s="73"/>
      <x:c r="F2" s="73"/>
      <x:c r="G2" s="73"/>
      <x:c r="H2" s="73"/>
      <x:c r="I2" s="73"/>
      <x:c r="J2" s="74" t="str">
        <x:v>2026.10.18</x:v>
      </x:c>
      <x:c r="K2" s="74"/>
      <x:c r="L2" s="2"/>
      <x:c r="M2" s="2"/>
      <x:c r="N2" s="2"/>
      <x:c r="O2" s="2"/>
      <x:c r="P2" s="2"/>
      <x:c r="Q2" s="2"/>
      <x:c r="R2" s="2"/>
    </x:row>
    <x:row r="3" ht="27" customHeight="1">
      <x:c r="A3" s="75" t="str">
        <x:v>  ZEC 数据总览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2"/>
      <x:c r="M3" s="2"/>
      <x:c r="N3" s="2"/>
      <x:c r="O3" s="2"/>
      <x:c r="P3" s="2"/>
      <x:c r="Q3" s="2"/>
      <x:c r="R3" s="2"/>
    </x:row>
    <x:row r="4" ht="27" customHeight="1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2"/>
      <x:c r="M4" s="2"/>
      <x:c r="N4" s="2"/>
      <x:c r="O4" s="2"/>
      <x:c r="P4" s="2"/>
      <x:c r="Q4" s="2"/>
      <x:c r="R4" s="2"/>
    </x:row>
    <x:row r="5" ht="27" customHeight="1">
      <x:c r="A5" s="76" t="str">
        <x:v>  行情观察 12:25 北京时间  ·  ETF 流量截至美东 2026-10-16</x:v>
      </x:c>
      <x:c r="B5" s="76"/>
      <x:c r="C5" s="76"/>
      <x:c r="D5" s="76"/>
      <x:c r="E5" s="76"/>
      <x:c r="F5" s="76"/>
      <x:c r="G5" s="76"/>
      <x:c r="H5" s="76"/>
      <x:c r="I5" s="76"/>
      <x:c r="J5" s="76"/>
      <x:c r="K5" s="76"/>
      <x:c r="L5" s="76"/>
      <x:c r="M5" s="76"/>
      <x:c r="N5" s="76"/>
      <x:c r="O5" s="76"/>
      <x:c r="P5" s="76"/>
      <x:c r="Q5" s="76"/>
      <x:c r="R5" s="76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7" t="str">
        <x:v>  ETF 原生币持仓：逐只可查 1/1；2026-10-16 同日样本 1/1；异日数不入小计。</x:v>
      </x:c>
      <x:c r="B7" s="77"/>
      <x:c r="C7" s="77"/>
      <x:c r="D7" s="77"/>
      <x:c r="E7" s="77"/>
      <x:c r="F7" s="77"/>
      <x:c r="G7" s="77"/>
      <x:c r="H7" s="77"/>
      <x:c r="I7" s="77"/>
      <x:c r="J7" s="77"/>
      <x:c r="K7" s="77"/>
      <x:c r="L7" s="77"/>
      <x:c r="M7" s="77"/>
      <x:c r="N7" s="77"/>
      <x:c r="O7" s="77"/>
      <x:c r="P7" s="77"/>
      <x:c r="Q7" s="77"/>
      <x:c r="R7" s="77"/>
    </x:row>
    <x:row r="8" ht="23" customHeight="1">
      <x:c r="A8" s="113" t="str">
        <x:v>现价</x:v>
      </x:c>
      <x:c r="B8" s="114"/>
      <x:c r="C8" s="115"/>
      <x:c r="D8" s="161" t="str">
        <x:v>24h 涨跌</x:v>
      </x:c>
      <x:c r="E8" s="162"/>
      <x:c r="F8" s="163"/>
      <x:c r="G8" s="161" t="str">
        <x:v>7d 涨跌</x:v>
      </x:c>
      <x:c r="H8" s="162"/>
      <x:c r="I8" s="163"/>
      <x:c r="J8" s="161" t="str">
        <x:v>24h 成交额</x:v>
      </x:c>
      <x:c r="K8" s="162"/>
      <x:c r="L8" s="163"/>
      <x:c r="M8" s="161" t="str">
        <x:v>流通市值</x:v>
      </x:c>
      <x:c r="N8" s="162"/>
      <x:c r="O8" s="163"/>
      <x:c r="P8" s="161" t="str">
        <x:v>ETF 日净流量</x:v>
      </x:c>
      <x:c r="Q8" s="162"/>
      <x:c r="R8" s="163"/>
    </x:row>
    <x:row r="9" ht="23" customHeight="1">
      <x:c r="A9" s="116"/>
      <x:c r="B9" s="117"/>
      <x:c r="C9" s="118"/>
      <x:c r="D9" s="164"/>
      <x:c r="E9" s="165"/>
      <x:c r="F9" s="166"/>
      <x:c r="G9" s="164"/>
      <x:c r="H9" s="165"/>
      <x:c r="I9" s="166"/>
      <x:c r="J9" s="164"/>
      <x:c r="K9" s="165"/>
      <x:c r="L9" s="166"/>
      <x:c r="M9" s="164"/>
      <x:c r="N9" s="165"/>
      <x:c r="O9" s="166"/>
      <x:c r="P9" s="164"/>
      <x:c r="Q9" s="165"/>
      <x:c r="R9" s="166"/>
    </x:row>
    <x:row r="10" ht="23" customHeight="1">
      <x:c r="A10" s="119" t="n">
        <x:f>'行情与资金流'!B4</x:f>
        <x:v>1145.83</x:v>
      </x:c>
      <x:c r="B10" s="120"/>
      <x:c r="C10" s="121"/>
      <x:c r="D10" s="167" t="n">
        <x:f>'行情与资金流'!B5</x:f>
        <x:v>-0.006160099999999999</x:v>
      </x:c>
      <x:c r="E10" s="168"/>
      <x:c r="F10" s="169"/>
      <x:c r="G10" s="167" t="n">
        <x:f>'行情与资金流'!B8</x:f>
        <x:v>-0.069072</x:v>
      </x:c>
      <x:c r="H10" s="168"/>
      <x:c r="I10" s="169"/>
      <x:c r="J10" s="182" t="n">
        <x:f>'行情与资金流'!B6</x:f>
        <x:v>667631813</x:v>
      </x:c>
      <x:c r="K10" s="183"/>
      <x:c r="L10" s="184"/>
      <x:c r="M10" s="182" t="n">
        <x:f>'行情与资金流'!B7</x:f>
        <x:v>19471147804</x:v>
      </x:c>
      <x:c r="N10" s="183"/>
      <x:c r="O10" s="184"/>
      <x:c r="P10" s="191" t="n">
        <x:f>'行情与资金流'!E4</x:f>
        <x:v>-1.2</x:v>
      </x:c>
      <x:c r="Q10" s="192"/>
      <x:c r="R10" s="193"/>
    </x:row>
    <x:row r="11" ht="23" customHeight="1">
      <x:c r="A11" s="119"/>
      <x:c r="B11" s="120"/>
      <x:c r="C11" s="121"/>
      <x:c r="D11" s="167"/>
      <x:c r="E11" s="168"/>
      <x:c r="F11" s="169"/>
      <x:c r="G11" s="167"/>
      <x:c r="H11" s="168"/>
      <x:c r="I11" s="169"/>
      <x:c r="J11" s="182"/>
      <x:c r="K11" s="183"/>
      <x:c r="L11" s="184"/>
      <x:c r="M11" s="182"/>
      <x:c r="N11" s="183"/>
      <x:c r="O11" s="184"/>
      <x:c r="P11" s="191"/>
      <x:c r="Q11" s="192"/>
      <x:c r="R11" s="193"/>
    </x:row>
    <x:row r="12" ht="23" customHeight="1">
      <x:c r="A12" s="119"/>
      <x:c r="B12" s="120"/>
      <x:c r="C12" s="121"/>
      <x:c r="D12" s="167"/>
      <x:c r="E12" s="168"/>
      <x:c r="F12" s="169"/>
      <x:c r="G12" s="167"/>
      <x:c r="H12" s="168"/>
      <x:c r="I12" s="169"/>
      <x:c r="J12" s="182"/>
      <x:c r="K12" s="183"/>
      <x:c r="L12" s="184"/>
      <x:c r="M12" s="182"/>
      <x:c r="N12" s="183"/>
      <x:c r="O12" s="184"/>
      <x:c r="P12" s="191"/>
      <x:c r="Q12" s="192"/>
      <x:c r="R12" s="193"/>
    </x:row>
    <x:row r="13" ht="23" customHeight="1">
      <x:c r="A13" s="122" t="str">
        <x:v>USD / ZEC</x:v>
      </x:c>
      <x:c r="B13" s="123"/>
      <x:c r="C13" s="124"/>
      <x:c r="D13" s="170" t="str">
        <x:v>滚动 24 小时</x:v>
      </x:c>
      <x:c r="E13" s="171"/>
      <x:c r="F13" s="172"/>
      <x:c r="G13" s="170" t="str">
        <x:v>滚动 7 天</x:v>
      </x:c>
      <x:c r="H13" s="171"/>
      <x:c r="I13" s="172"/>
      <x:c r="J13" s="170" t="str">
        <x:v>USD · 全市场</x:v>
      </x:c>
      <x:c r="K13" s="171"/>
      <x:c r="L13" s="172"/>
      <x:c r="M13" s="170" t="str">
        <x:v>USD</x:v>
      </x:c>
      <x:c r="N13" s="171"/>
      <x:c r="O13" s="172"/>
      <x:c r="P13" s="170" t="str">
        <x:v>百万美元 · 美东10-16</x:v>
      </x:c>
      <x:c r="Q13" s="171"/>
      <x:c r="R13" s="172"/>
    </x:row>
    <x:row r="14" ht="23" customHeight="1">
      <x:c r="A14" s="226" t="str">
        <x:v>ETF 流量日</x:v>
      </x:c>
      <x:c r="B14" s="227"/>
      <x:c r="C14" s="228"/>
      <x:c r="D14" s="161" t="str">
        <x:v>近7交易日净流</x:v>
      </x:c>
      <x:c r="E14" s="162"/>
      <x:c r="F14" s="163"/>
      <x:c r="G14" s="274" t="str">
        <x:v>ETF 总持仓</x:v>
      </x:c>
      <x:c r="H14" s="275"/>
      <x:c r="I14" s="276"/>
      <x:c r="J14" s="161" t="str">
        <x:v>现货产品数</x:v>
      </x:c>
      <x:c r="K14" s="162"/>
      <x:c r="L14" s="163"/>
      <x:c r="M14" s="161" t="str">
        <x:v>链上 DeFi TVL</x:v>
      </x:c>
      <x:c r="N14" s="162"/>
      <x:c r="O14" s="163"/>
      <x:c r="P14" s="161" t="str">
        <x:v>链上 DEX 24h</x:v>
      </x:c>
      <x:c r="Q14" s="162"/>
      <x:c r="R14" s="163"/>
    </x:row>
    <x:row r="15" ht="23" customHeight="1">
      <x:c r="A15" s="229"/>
      <x:c r="B15" s="230"/>
      <x:c r="C15" s="231"/>
      <x:c r="D15" s="164"/>
      <x:c r="E15" s="165"/>
      <x:c r="F15" s="166"/>
      <x:c r="G15" s="277"/>
      <x:c r="H15" s="278"/>
      <x:c r="I15" s="279"/>
      <x:c r="J15" s="164"/>
      <x:c r="K15" s="165"/>
      <x:c r="L15" s="166"/>
      <x:c r="M15" s="164"/>
      <x:c r="N15" s="165"/>
      <x:c r="O15" s="166"/>
      <x:c r="P15" s="164"/>
      <x:c r="Q15" s="165"/>
      <x:c r="R15" s="166"/>
    </x:row>
    <x:row r="16" ht="23" customHeight="1">
      <x:c r="A16" s="232" t="str">
        <x:v>2026-10-16</x:v>
      </x:c>
      <x:c r="B16" s="233"/>
      <x:c r="C16" s="234"/>
      <x:c r="D16" s="191" t="n">
        <x:f>SUM('行情与资金流'!B11:B17)</x:f>
        <x:v>-37.900000000000006</x:v>
      </x:c>
      <x:c r="E16" s="192"/>
      <x:c r="F16" s="193"/>
      <x:c r="G16" s="280" t="n">
        <x:f>'持仓录入'!B5</x:f>
        <x:v>547192.63</x:v>
      </x:c>
      <x:c r="H16" s="281"/>
      <x:c r="I16" s="282"/>
      <x:c r="J16" s="289" t="n">
        <x:v>1</x:v>
      </x:c>
      <x:c r="K16" s="290"/>
      <x:c r="L16" s="291"/>
      <x:c r="M16" s="301" t="str">
        <x:v>不适用</x:v>
      </x:c>
      <x:c r="N16" s="302"/>
      <x:c r="O16" s="303"/>
      <x:c r="P16" s="301" t="str">
        <x:v>不适用</x:v>
      </x:c>
      <x:c r="Q16" s="302"/>
      <x:c r="R16" s="303"/>
    </x:row>
    <x:row r="17" ht="23" customHeight="1">
      <x:c r="A17" s="232"/>
      <x:c r="B17" s="233"/>
      <x:c r="C17" s="234"/>
      <x:c r="D17" s="191"/>
      <x:c r="E17" s="192"/>
      <x:c r="F17" s="193"/>
      <x:c r="G17" s="280"/>
      <x:c r="H17" s="281"/>
      <x:c r="I17" s="282"/>
      <x:c r="J17" s="289"/>
      <x:c r="K17" s="290"/>
      <x:c r="L17" s="291"/>
      <x:c r="M17" s="301"/>
      <x:c r="N17" s="302"/>
      <x:c r="O17" s="303"/>
      <x:c r="P17" s="301"/>
      <x:c r="Q17" s="302"/>
      <x:c r="R17" s="303"/>
    </x:row>
    <x:row r="18" ht="23" customHeight="1">
      <x:c r="A18" s="232"/>
      <x:c r="B18" s="233"/>
      <x:c r="C18" s="234"/>
      <x:c r="D18" s="191"/>
      <x:c r="E18" s="192"/>
      <x:c r="F18" s="193"/>
      <x:c r="G18" s="280"/>
      <x:c r="H18" s="281"/>
      <x:c r="I18" s="282"/>
      <x:c r="J18" s="289"/>
      <x:c r="K18" s="290"/>
      <x:c r="L18" s="291"/>
      <x:c r="M18" s="301"/>
      <x:c r="N18" s="302"/>
      <x:c r="O18" s="303"/>
      <x:c r="P18" s="301"/>
      <x:c r="Q18" s="302"/>
      <x:c r="R18" s="303"/>
    </x:row>
    <x:row r="19" ht="23" customHeight="1">
      <x:c r="A19" s="235" t="str">
        <x:v>美国东部交易日</x:v>
      </x:c>
      <x:c r="B19" s="236"/>
      <x:c r="C19" s="237"/>
      <x:c r="D19" s="170" t="str">
        <x:v>百万美元 · 完整交易日</x:v>
      </x:c>
      <x:c r="E19" s="171"/>
      <x:c r="F19" s="172"/>
      <x:c r="G19" s="283" t="str">
        <x:v>ZEC · 1/1只 · 2026-10-16美东</x:v>
      </x:c>
      <x:c r="H19" s="284"/>
      <x:c r="I19" s="285"/>
      <x:c r="J19" s="170" t="str">
        <x:v>只 · 已确认产品</x:v>
      </x:c>
      <x:c r="K19" s="171"/>
      <x:c r="L19" s="172"/>
      <x:c r="M19" s="170" t="str">
        <x:v>USD · 链级指标</x:v>
      </x:c>
      <x:c r="N19" s="171"/>
      <x:c r="O19" s="172"/>
      <x:c r="P19" s="170" t="str">
        <x:v>USD · 链级指标</x:v>
      </x:c>
      <x:c r="Q19" s="171"/>
      <x:c r="R19" s="172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07" t="str">
        <x:v>  近7个完整 UTC 日收盘价</x:v>
      </x:c>
      <x:c r="B21" s="308"/>
      <x:c r="C21" s="308"/>
      <x:c r="D21" s="308"/>
      <x:c r="E21" s="308"/>
      <x:c r="F21" s="309"/>
      <x:c r="G21" s="307" t="str">
        <x:v>  近7交易日 ETF 美元资金流</x:v>
      </x:c>
      <x:c r="H21" s="308"/>
      <x:c r="I21" s="308"/>
      <x:c r="J21" s="308"/>
      <x:c r="K21" s="308"/>
      <x:c r="L21" s="309"/>
      <x:c r="M21" s="307" t="str">
        <x:v>  ETF 产品贡献与链上补充</x:v>
      </x:c>
      <x:c r="N21" s="308"/>
      <x:c r="O21" s="308"/>
      <x:c r="P21" s="308"/>
      <x:c r="Q21" s="308"/>
      <x:c r="R21" s="309"/>
    </x:row>
    <x:row r="22" ht="23" customHeight="1">
      <x:c r="A22" s="129"/>
      <x:c r="B22" s="125"/>
      <x:c r="C22" s="125"/>
      <x:c r="D22" s="125"/>
      <x:c r="E22" s="125"/>
      <x:c r="F22" s="130"/>
      <x:c r="G22" s="129"/>
      <x:c r="H22" s="125"/>
      <x:c r="I22" s="125"/>
      <x:c r="J22" s="125"/>
      <x:c r="K22" s="125"/>
      <x:c r="L22" s="130"/>
      <x:c r="M22" s="129"/>
      <x:c r="N22" s="125"/>
      <x:c r="O22" s="125"/>
      <x:c r="P22" s="125"/>
      <x:c r="Q22" s="125"/>
      <x:c r="R22" s="130"/>
    </x:row>
    <x:row r="23" ht="23" customHeight="1">
      <x:c r="A23" s="129"/>
      <x:c r="B23" s="125"/>
      <x:c r="C23" s="125"/>
      <x:c r="D23" s="125"/>
      <x:c r="E23" s="125"/>
      <x:c r="F23" s="130"/>
      <x:c r="G23" s="129"/>
      <x:c r="H23" s="125"/>
      <x:c r="I23" s="125"/>
      <x:c r="J23" s="125"/>
      <x:c r="K23" s="125"/>
      <x:c r="L23" s="130"/>
      <x:c r="M23" s="152" t="str">
        <x:v>美东 2026-10-16 · 产品净流量</x:v>
      </x:c>
      <x:c r="N23" s="153"/>
      <x:c r="O23" s="153"/>
      <x:c r="P23" s="153"/>
      <x:c r="Q23" s="153"/>
      <x:c r="R23" s="154"/>
    </x:row>
    <x:row r="24" ht="23" customHeight="1">
      <x:c r="A24" s="129"/>
      <x:c r="B24" s="125"/>
      <x:c r="C24" s="125"/>
      <x:c r="D24" s="125"/>
      <x:c r="E24" s="125"/>
      <x:c r="F24" s="130"/>
      <x:c r="G24" s="129"/>
      <x:c r="H24" s="125"/>
      <x:c r="I24" s="125"/>
      <x:c r="J24" s="125"/>
      <x:c r="K24" s="125"/>
      <x:c r="L24" s="130"/>
      <x:c r="M24" s="129"/>
      <x:c r="N24" s="125"/>
      <x:c r="O24" s="125"/>
      <x:c r="P24" s="125"/>
      <x:c r="Q24" s="125"/>
      <x:c r="R24" s="130"/>
    </x:row>
    <x:row r="25" ht="23" customHeight="1">
      <x:c r="A25" s="129"/>
      <x:c r="B25" s="125"/>
      <x:c r="C25" s="125"/>
      <x:c r="D25" s="125"/>
      <x:c r="E25" s="125"/>
      <x:c r="F25" s="130"/>
      <x:c r="G25" s="129"/>
      <x:c r="H25" s="125"/>
      <x:c r="I25" s="125"/>
      <x:c r="J25" s="125"/>
      <x:c r="K25" s="125"/>
      <x:c r="L25" s="130"/>
      <x:c r="M25" s="316" t="str">
        <x:f>'行情与资金流'!A23</x:f>
        <x:v>ZCSH</x:v>
      </x:c>
      <x:c r="N25" s="317"/>
      <x:c r="O25" s="317"/>
      <x:c r="P25" s="318" t="n">
        <x:f>'行情与资金流'!B23</x:f>
        <x:v>-1.2</x:v>
      </x:c>
      <x:c r="Q25" s="319"/>
      <x:c r="R25" s="320"/>
    </x:row>
    <x:row r="26" ht="23" customHeight="1">
      <x:c r="A26" s="129"/>
      <x:c r="B26" s="125"/>
      <x:c r="C26" s="125"/>
      <x:c r="D26" s="125"/>
      <x:c r="E26" s="125"/>
      <x:c r="F26" s="130"/>
      <x:c r="G26" s="129"/>
      <x:c r="H26" s="125"/>
      <x:c r="I26" s="125"/>
      <x:c r="J26" s="125"/>
      <x:c r="K26" s="125"/>
      <x:c r="L26" s="130"/>
      <x:c r="M26" s="129"/>
      <x:c r="N26" s="125"/>
      <x:c r="O26" s="125"/>
      <x:c r="P26" s="125"/>
      <x:c r="Q26" s="125"/>
      <x:c r="R26" s="130"/>
    </x:row>
    <x:row r="27" ht="23" customHeight="1">
      <x:c r="A27" s="129"/>
      <x:c r="B27" s="125"/>
      <x:c r="C27" s="125"/>
      <x:c r="D27" s="125"/>
      <x:c r="E27" s="125"/>
      <x:c r="F27" s="130"/>
      <x:c r="G27" s="129"/>
      <x:c r="H27" s="125"/>
      <x:c r="I27" s="125"/>
      <x:c r="J27" s="125"/>
      <x:c r="K27" s="125"/>
      <x:c r="L27" s="130"/>
      <x:c r="M27" s="324" t="str">
        <x:v>本日仅一只产品有非零净流量</x:v>
      </x:c>
      <x:c r="N27" s="325"/>
      <x:c r="O27" s="325"/>
      <x:c r="P27" s="325"/>
      <x:c r="Q27" s="325"/>
      <x:c r="R27" s="326"/>
    </x:row>
    <x:row r="28" ht="23" customHeight="1">
      <x:c r="A28" s="129"/>
      <x:c r="B28" s="125"/>
      <x:c r="C28" s="125"/>
      <x:c r="D28" s="125"/>
      <x:c r="E28" s="125"/>
      <x:c r="F28" s="130"/>
      <x:c r="G28" s="129"/>
      <x:c r="H28" s="125"/>
      <x:c r="I28" s="125"/>
      <x:c r="J28" s="125"/>
      <x:c r="K28" s="125"/>
      <x:c r="L28" s="130"/>
      <x:c r="M28" s="324"/>
      <x:c r="N28" s="325"/>
      <x:c r="O28" s="325"/>
      <x:c r="P28" s="325"/>
      <x:c r="Q28" s="325"/>
      <x:c r="R28" s="326"/>
    </x:row>
    <x:row r="29" ht="23" customHeight="1">
      <x:c r="A29" s="129"/>
      <x:c r="B29" s="125"/>
      <x:c r="C29" s="125"/>
      <x:c r="D29" s="125"/>
      <x:c r="E29" s="125"/>
      <x:c r="F29" s="130"/>
      <x:c r="G29" s="129"/>
      <x:c r="H29" s="125"/>
      <x:c r="I29" s="125"/>
      <x:c r="J29" s="125"/>
      <x:c r="K29" s="125"/>
      <x:c r="L29" s="130"/>
      <x:c r="M29" s="129"/>
      <x:c r="N29" s="125"/>
      <x:c r="O29" s="125"/>
      <x:c r="P29" s="125"/>
      <x:c r="Q29" s="125"/>
      <x:c r="R29" s="130"/>
    </x:row>
    <x:row r="30" ht="23" customHeight="1">
      <x:c r="A30" s="129"/>
      <x:c r="B30" s="125"/>
      <x:c r="C30" s="125"/>
      <x:c r="D30" s="125"/>
      <x:c r="E30" s="125"/>
      <x:c r="F30" s="130"/>
      <x:c r="G30" s="129"/>
      <x:c r="H30" s="125"/>
      <x:c r="I30" s="125"/>
      <x:c r="J30" s="125"/>
      <x:c r="K30" s="125"/>
      <x:c r="L30" s="130"/>
      <x:c r="M30" s="332" t="str">
        <x:v>产品覆盖</x:v>
      </x:c>
      <x:c r="N30" s="333"/>
      <x:c r="O30" s="333"/>
      <x:c r="P30" s="334" t="n">
        <x:v>1</x:v>
      </x:c>
      <x:c r="Q30" s="334"/>
      <x:c r="R30" s="335"/>
    </x:row>
    <x:row r="31" ht="23" customHeight="1">
      <x:c r="A31" s="129"/>
      <x:c r="B31" s="125"/>
      <x:c r="C31" s="125"/>
      <x:c r="D31" s="125"/>
      <x:c r="E31" s="125"/>
      <x:c r="F31" s="130"/>
      <x:c r="G31" s="129"/>
      <x:c r="H31" s="125"/>
      <x:c r="I31" s="125"/>
      <x:c r="J31" s="125"/>
      <x:c r="K31" s="125"/>
      <x:c r="L31" s="130"/>
      <x:c r="M31" s="336"/>
      <x:c r="N31" s="337"/>
      <x:c r="O31" s="337"/>
      <x:c r="P31" s="334"/>
      <x:c r="Q31" s="334"/>
      <x:c r="R31" s="335"/>
    </x:row>
    <x:row r="32" ht="23" customHeight="1">
      <x:c r="A32" s="129"/>
      <x:c r="B32" s="125"/>
      <x:c r="C32" s="125"/>
      <x:c r="D32" s="125"/>
      <x:c r="E32" s="125"/>
      <x:c r="F32" s="130"/>
      <x:c r="G32" s="129"/>
      <x:c r="H32" s="125"/>
      <x:c r="I32" s="125"/>
      <x:c r="J32" s="125"/>
      <x:c r="K32" s="125"/>
      <x:c r="L32" s="130"/>
      <x:c r="M32" s="197"/>
      <x:c r="N32" s="39"/>
      <x:c r="O32" s="39"/>
      <x:c r="P32" s="39"/>
      <x:c r="Q32" s="39"/>
      <x:c r="R32" s="198"/>
    </x:row>
    <x:row r="33" ht="23" customHeight="1">
      <x:c r="A33" s="129"/>
      <x:c r="B33" s="125"/>
      <x:c r="C33" s="125"/>
      <x:c r="D33" s="125"/>
      <x:c r="E33" s="125"/>
      <x:c r="F33" s="130"/>
      <x:c r="G33" s="129"/>
      <x:c r="H33" s="125"/>
      <x:c r="I33" s="125"/>
      <x:c r="J33" s="125"/>
      <x:c r="K33" s="125"/>
      <x:c r="L33" s="130"/>
      <x:c r="M33" s="324" t="str">
        <x:v>美元净流量不等于原生币持仓变化</x:v>
      </x:c>
      <x:c r="N33" s="325"/>
      <x:c r="O33" s="325"/>
      <x:c r="P33" s="325"/>
      <x:c r="Q33" s="325"/>
      <x:c r="R33" s="326"/>
    </x:row>
    <x:row r="34" ht="23" customHeight="1">
      <x:c r="A34" s="131"/>
      <x:c r="B34" s="132"/>
      <x:c r="C34" s="132"/>
      <x:c r="D34" s="132"/>
      <x:c r="E34" s="132"/>
      <x:c r="F34" s="133"/>
      <x:c r="G34" s="131"/>
      <x:c r="H34" s="132"/>
      <x:c r="I34" s="132"/>
      <x:c r="J34" s="132"/>
      <x:c r="K34" s="132"/>
      <x:c r="L34" s="133"/>
      <x:c r="M34" s="158"/>
      <x:c r="N34" s="159"/>
      <x:c r="O34" s="159"/>
      <x:c r="P34" s="159"/>
      <x:c r="Q34" s="159"/>
      <x:c r="R34" s="160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07" t="str">
        <x:v>  美国现货 ZEC ETF 产品明细  ·  持仓日期逐只标注  ·  流量 2026-10-16 美东</x:v>
      </x:c>
      <x:c r="B36" s="308"/>
      <x:c r="C36" s="308"/>
      <x:c r="D36" s="308"/>
      <x:c r="E36" s="308"/>
      <x:c r="F36" s="308"/>
      <x:c r="G36" s="308"/>
      <x:c r="H36" s="308"/>
      <x:c r="I36" s="308"/>
      <x:c r="J36" s="308"/>
      <x:c r="K36" s="308"/>
      <x:c r="L36" s="308"/>
      <x:c r="M36" s="308"/>
      <x:c r="N36" s="308"/>
      <x:c r="O36" s="308"/>
      <x:c r="P36" s="308"/>
      <x:c r="Q36" s="308"/>
      <x:c r="R36" s="309"/>
    </x:row>
    <x:row r="37" ht="29" customHeight="1">
      <x:c r="A37" s="342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ZEC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3"/>
    </x:row>
    <x:row r="38" ht="27" customHeight="1">
      <x:c r="A38" s="355" t="str">
        <x:f>'持仓录入'!F18</x:f>
        <x:v>ZCSH</x:v>
      </x:c>
      <x:c r="B38" s="356"/>
      <x:c r="C38" s="357" t="str">
        <x:f>'持仓录入'!G18</x:f>
        <x:v>Grayscale</x:v>
      </x:c>
      <x:c r="D38" s="357"/>
      <x:c r="E38" s="358" t="n">
        <x:f>'持仓录入'!J18</x:f>
        <x:v>2.5</x:v>
      </x:c>
      <x:c r="F38" s="357"/>
      <x:c r="G38" s="359" t="n">
        <x:f>'持仓录入'!H18</x:f>
        <x:v>547192.63</x:v>
      </x:c>
      <x:c r="H38" s="360"/>
      <x:c r="I38" s="360"/>
      <x:c r="J38" s="360"/>
      <x:c r="K38" s="361" t="str">
        <x:f>'持仓录入'!I18</x:f>
        <x:v>2026-10-16</x:v>
      </x:c>
      <x:c r="L38" s="361"/>
      <x:c r="M38" s="362" t="n">
        <x:f>'持仓录入'!K18</x:f>
        <x:v>-1.2</x:v>
      </x:c>
      <x:c r="N38" s="363"/>
      <x:c r="O38" s="363"/>
      <x:c r="P38" s="361" t="str">
        <x:f>'持仓录入'!L18</x:f>
        <x:v>2026-10-16</x:v>
      </x:c>
      <x:c r="Q38" s="361"/>
      <x:c r="R38" s="364"/>
    </x:row>
    <x:row r="39" ht="34" customHeight="1">
      <x:c r="A39" s="372" t="str">
        <x:v>ETF 总持仓 1/1 只</x:v>
      </x:c>
      <x:c r="B39" s="373"/>
      <x:c r="C39" s="373"/>
      <x:c r="D39" s="373"/>
      <x:c r="E39" s="373"/>
      <x:c r="F39" s="373"/>
      <x:c r="G39" s="374" t="n">
        <x:f>'持仓录入'!B5</x:f>
        <x:v>547192.63</x:v>
      </x:c>
      <x:c r="H39" s="373"/>
      <x:c r="I39" s="373"/>
      <x:c r="J39" s="373"/>
      <x:c r="K39" s="373" t="str">
        <x:v>ETF 净流量 · 2026-10-16 美东</x:v>
      </x:c>
      <x:c r="L39" s="373"/>
      <x:c r="M39" s="373"/>
      <x:c r="N39" s="373"/>
      <x:c r="O39" s="373"/>
      <x:c r="P39" s="375" t="n">
        <x:f>'行情与资金流'!E4</x:f>
        <x:v>-1.2</x:v>
      </x:c>
      <x:c r="Q39" s="373"/>
      <x:c r="R39" s="376"/>
    </x:row>
    <x:row r="40" ht="23" customHeight="1">
      <x:c r="A40" s="321" t="str">
        <x:v>口径：样本小计仅含同日产品；异日持仓只逐只展示；ETF 美元资金流不等于原生币增减。</x:v>
      </x:c>
      <x:c r="B40" s="322"/>
      <x:c r="C40" s="322"/>
      <x:c r="D40" s="322"/>
      <x:c r="E40" s="322"/>
      <x:c r="F40" s="322"/>
      <x:c r="G40" s="322"/>
      <x:c r="H40" s="322"/>
      <x:c r="I40" s="322"/>
      <x:c r="J40" s="322"/>
      <x:c r="K40" s="322"/>
      <x:c r="L40" s="322"/>
      <x:c r="M40" s="322"/>
      <x:c r="N40" s="322"/>
      <x:c r="O40" s="322"/>
      <x:c r="P40" s="322"/>
      <x:c r="Q40" s="322"/>
      <x:c r="R40" s="323"/>
    </x:row>
    <x:row r="41" ht="23" customHeight="1">
      <x:c r="A41" s="321" t="str">
        <x:v>0.0 表示来源明确披露零流量；“未披露”或“未核实”表示缺失，不能填零。</x:v>
      </x:c>
      <x:c r="B41" s="322"/>
      <x:c r="C41" s="322"/>
      <x:c r="D41" s="322"/>
      <x:c r="E41" s="322"/>
      <x:c r="F41" s="322"/>
      <x:c r="G41" s="322"/>
      <x:c r="H41" s="322"/>
      <x:c r="I41" s="322"/>
      <x:c r="J41" s="322"/>
      <x:c r="K41" s="322"/>
      <x:c r="L41" s="322"/>
      <x:c r="M41" s="322"/>
      <x:c r="N41" s="322"/>
      <x:c r="O41" s="322"/>
      <x:c r="P41" s="322"/>
      <x:c r="Q41" s="322"/>
      <x:c r="R41" s="323"/>
    </x:row>
    <x:row r="42" ht="23" customHeight="1">
      <x:c r="A42" s="143" t="str">
        <x:v>ZCSH 持仓来自公开接口转录的发行商数字；其余已填持仓见发行商原件。逐只链接见「持仓录入」。</x:v>
      </x:c>
      <x:c r="B42" s="144"/>
      <x:c r="C42" s="144"/>
      <x:c r="D42" s="144"/>
      <x:c r="E42" s="144"/>
      <x:c r="F42" s="144"/>
      <x:c r="G42" s="144"/>
      <x:c r="H42" s="144"/>
      <x:c r="I42" s="144"/>
      <x:c r="J42" s="144"/>
      <x:c r="K42" s="144"/>
      <x:c r="L42" s="144"/>
      <x:c r="M42" s="144"/>
      <x:c r="N42" s="144"/>
      <x:c r="O42" s="144"/>
      <x:c r="P42" s="144"/>
      <x:c r="Q42" s="144"/>
      <x:c r="R42" s="145"/>
    </x:row>
    <x:row r="43" ht="23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</x:row>
    <x:row r="44" ht="23" customHeight="1">
      <x:c r="A44" s="377" t="str">
        <x:v>行情观察 12:25 北京时间｜收盘截至 2026-10-17 UTC｜持仓样本 2026-10-16 美东（逐只日期见表）｜流量 2026-10-16 美东</x:v>
      </x:c>
      <x:c r="B44" s="377"/>
      <x:c r="C44" s="377"/>
      <x:c r="D44" s="377"/>
      <x:c r="E44" s="377"/>
      <x:c r="F44" s="377"/>
      <x:c r="G44" s="377"/>
      <x:c r="H44" s="377"/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</x:row>
    <x:row r="45" ht="23" customHeight="1">
      <x:c r="A45" s="377" t="str">
        <x:v>原始行情采集 2026-10-18T12:27:06+08:00｜本次产品明细核验 2026-10-18T12:27:06+08:00</x:v>
      </x:c>
      <x:c r="B45" s="377"/>
      <x:c r="C45" s="377"/>
      <x:c r="D45" s="377"/>
      <x:c r="E45" s="377"/>
      <x:c r="F45" s="377"/>
      <x:c r="G45" s="377"/>
      <x:c r="H45" s="377"/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</x:row>
    <x:row r="46" ht="23" customHeight="1">
      <x:c r="A46" s="377" t="str">
        <x:v>行情、ETF 持仓、美元流量和链上指标属于不同口径，均按各自来源日期展示。</x:v>
      </x:c>
      <x:c r="B46" s="377"/>
      <x:c r="C46" s="377"/>
      <x:c r="D46" s="377"/>
      <x:c r="E46" s="377"/>
      <x:c r="F46" s="377"/>
      <x:c r="G46" s="377"/>
      <x:c r="H46" s="377"/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</x:row>
    <x:row r="47" ht="23" customHeight="1">
      <x:c r="A47" s="377" t="str">
        <x:v>产品链接、费率与流量来源见「持仓录入」；价格历史见「行情与资金流」；链上数据见「链上与动态」。</x:v>
      </x:c>
      <x:c r="B47" s="377"/>
      <x:c r="C47" s="377"/>
      <x:c r="D47" s="377"/>
      <x:c r="E47" s="377"/>
      <x:c r="F47" s="377"/>
      <x:c r="G47" s="377"/>
      <x:c r="H47" s="377"/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</x:row>
    <x:row r="48" ht="23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</x:row>
    <x:row r="49" ht="23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F39"/>
    <x:mergeCell ref="G39:J39"/>
    <x:mergeCell ref="K39:O39"/>
    <x:mergeCell ref="P39:R39"/>
    <x:mergeCell ref="A40:R40"/>
    <x:mergeCell ref="A41:R41"/>
    <x:mergeCell ref="A42:R42"/>
    <x:mergeCell ref="A44:R44"/>
    <x:mergeCell ref="A45:R45"/>
    <x:mergeCell ref="A46:R46"/>
    <x:mergeCell ref="A47:R47"/>
  </x:mergeCells>
  <x:pageMargins left="0.7" right="0.7" top="0.75" bottom="0.75" header="0.3" footer="0.3"/>
  <x:drawing xmlns:r="http://schemas.openxmlformats.org/officeDocument/2006/relationships" r:id="R893e80e262b84c68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ZEC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1/1；同日样本 1/1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ETF 总持仓 (ZEC)</x:v>
      </x:c>
      <x:c r="B5" s="4" t="n">
        <x:f>SUMIF(I18:I29,B2,H18:H29)</x:f>
        <x:v>547192.63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ZEC</x:v>
      </x:c>
      <x:c r="C7" s="8" t="str">
        <x:v>日变化 ZEC</x:v>
      </x:c>
      <x:c r="D7" s="8" t="str">
        <x:v>由持仓差计算</x:v>
      </x:c>
      <x:c r="E7" s="8" t="str">
        <x:v>差额 ZEC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ZEC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ZCSH</x:v>
      </x:c>
      <x:c r="G18" s="1" t="str">
        <x:v>Grayscale</x:v>
      </x:c>
      <x:c r="H18" s="4" t="n">
        <x:v>547192.63</x:v>
      </x:c>
      <x:c r="I18" s="16" t="str">
        <x:v>2026-10-16</x:v>
      </x:c>
      <x:c r="J18" s="37" t="n">
        <x:v>2.5</x:v>
      </x:c>
      <x:c r="K18" s="38" t="n">
        <x:v>-1.2</x:v>
      </x:c>
      <x:c r="L18" s="1" t="str">
        <x:v>2026-10-16</x:v>
      </x:c>
      <x:c r="M18" s="1" t="str">
        <x:v>https://www.sec.gov/Archives/edgar/data/1720265/000119312526363603/zcsh__424b3.htm</x:v>
      </x:c>
      <x:c r="N18" s="1" t="str">
        <x:v>https://www.zecmetrics.io/markets</x:v>
      </x:c>
      <x:c r="O18" s="1" t="str">
        <x:v>https://farside.co.uk/zec/</x:v>
      </x:c>
      <x:c r="P18" s="1" t="str">
        <x:v>https://farside.co.uk/zec/</x:v>
      </x:c>
      <x:c r="Q18" s="36" t="str">
        <x:v>已核实 2026-10-16；公开站点转录 Grayscale 每日文件，发行商本次返回 429</x:v>
      </x:c>
    </x:row>
    <x:row r="19" ht="28" customHeight="1">
      <x:c r="A19" s="26"/>
      <x:c r="B19" s="26"/>
      <x:c r="C19" s="35"/>
      <x:c r="D19" s="1"/>
      <x:c r="E19" s="1"/>
      <x:c r="F19" s="15"/>
      <x:c r="G19" s="9"/>
      <x:c r="H19" s="10"/>
      <x:c r="I19" s="17"/>
      <x:c r="J19" s="37"/>
      <x:c r="K19" s="38"/>
      <x:c r="L19" s="1"/>
      <x:c r="M19" s="1"/>
      <x:c r="N19" s="1"/>
      <x:c r="O19" s="1"/>
      <x:c r="P19" s="1"/>
      <x:c r="Q19" s="36"/>
    </x:row>
    <x:row r="20" ht="28" customHeight="1">
      <x:c r="A20" s="24"/>
      <x:c r="B20" s="24"/>
      <x:c r="C20" s="34"/>
      <x:c r="D20" s="1"/>
      <x:c r="E20" s="1"/>
      <x:c r="F20" s="14"/>
      <x:c r="G20" s="1"/>
      <x:c r="H20" s="4"/>
      <x:c r="I20" s="16"/>
      <x:c r="J20" s="37"/>
      <x:c r="K20" s="38"/>
      <x:c r="L20" s="1"/>
      <x:c r="M20" s="1"/>
      <x:c r="N20" s="1"/>
      <x:c r="O20" s="1"/>
      <x:c r="P20" s="1"/>
      <x:c r="Q20" s="36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7"/>
      <x:c r="K21" s="38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7"/>
      <x:c r="K22" s="38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7"/>
      <x:c r="K23" s="38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7"/>
      <x:c r="K24" s="38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7"/>
      <x:c r="K25" s="38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7"/>
      <x:c r="K26" s="38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8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8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8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2" t="str">
        <x:v>逐只可查 1/1；同日样本 1/1。
异日持仓不纳入小计；缺失不代表零。</x:v>
      </x:c>
      <x:c r="G31" s="42"/>
      <x:c r="H31" s="42"/>
      <x:c r="I31" s="42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2"/>
      <x:c r="G32" s="42"/>
      <x:c r="H32" s="42"/>
      <x:c r="I32" s="42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2"/>
      <x:c r="G33" s="42"/>
      <x:c r="H33" s="42"/>
      <x:c r="I33" s="42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4" t="str">
        <x:v>注意：持仓为部分产品的发行商披露样本，非全市场总量；标示年费率不代表实际优惠后费率；0.0 为来源明确披露，空白/未披露并非零。</x:v>
      </x:c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ZEC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2026-10-18 12:27:06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5" t="n">
        <x:v>1145.83</x:v>
      </x:c>
      <x:c r="C4" s="1"/>
      <x:c r="D4" s="1" t="str">
        <x:v>净资金流 (百万美元)</x:v>
      </x:c>
      <x:c r="E4" s="5" t="n">
        <x:v>-1.2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6" t="n">
        <x:v>-0.006160099999999999</x:v>
      </x:c>
      <x:c r="C5" s="1"/>
      <x:c r="D5" s="1" t="str">
        <x:v>持币总量状态</x:v>
      </x:c>
      <x:c r="E5" s="1" t="str">
        <x:v>逐只 1/1；同日 1/1；总量待核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7" t="n">
        <x:v>667631813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7" t="n">
        <x:v>19471147804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6" t="n">
        <x:v>-0.069072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ZEC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10-08</x:v>
      </x:c>
      <x:c r="B11" s="5" t="n">
        <x:v>-18.7</x:v>
      </x:c>
      <x:c r="C11" s="1"/>
      <x:c r="D11" s="14" t="str">
        <x:v>10-11</x:v>
      </x:c>
      <x:c r="E11" s="47" t="n">
        <x:v>1219.704791</x:v>
      </x:c>
      <x:c r="F11" s="1"/>
      <x:c r="G11" s="1" t="str">
        <x:v>即时行情</x:v>
      </x:c>
      <x:c r="H11" s="1" t="str">
        <x:v>https://api.coingecko.com/api/v3/coins/markets?vs_currency=usd&amp;ids=uniswap%2Czcash&amp;price_change_percentage=7d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-18.7</x:v>
      </x:c>
    </x:row>
    <x:row r="12" ht="28" customHeight="1">
      <x:c r="A12" s="14" t="str">
        <x:v>10-09</x:v>
      </x:c>
      <x:c r="B12" s="5" t="n">
        <x:v>0</x:v>
      </x:c>
      <x:c r="C12" s="1"/>
      <x:c r="D12" s="14" t="str">
        <x:v>10-12</x:v>
      </x:c>
      <x:c r="E12" s="47" t="n">
        <x:v>1275.571031</x:v>
      </x:c>
      <x:c r="F12" s="1"/>
      <x:c r="G12" s="1" t="str">
        <x:v>价格历史</x:v>
      </x:c>
      <x:c r="H12" s="1" t="str">
        <x:v>https://api.coingecko.com/api/v3/coins/zcash/market_chart?vs_currency=usd&amp;days=8&amp;interval=daily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0</x:v>
      </x:c>
    </x:row>
    <x:row r="13" ht="28" customHeight="1">
      <x:c r="A13" s="14" t="str">
        <x:v>10-12</x:v>
      </x:c>
      <x:c r="B13" s="5" t="n">
        <x:v>-1.7</x:v>
      </x:c>
      <x:c r="C13" s="1"/>
      <x:c r="D13" s="14" t="str">
        <x:v>10-13</x:v>
      </x:c>
      <x:c r="E13" s="47" t="n">
        <x:v>1166.913215</x:v>
      </x:c>
      <x:c r="F13" s="1"/>
      <x:c r="G13" s="1" t="str">
        <x:v>ETF资金流</x:v>
      </x:c>
      <x:c r="H13" s="1" t="str">
        <x:v>https://farside.co.uk/zec/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-1.7</x:v>
      </x:c>
    </x:row>
    <x:row r="14" ht="28" customHeight="1">
      <x:c r="A14" s="14" t="str">
        <x:v>10-13</x:v>
      </x:c>
      <x:c r="B14" s="5" t="n">
        <x:v>-5.2</x:v>
      </x:c>
      <x:c r="C14" s="1"/>
      <x:c r="D14" s="14" t="str">
        <x:v>10-14</x:v>
      </x:c>
      <x:c r="E14" s="47" t="n">
        <x:v>1217.901339</x:v>
      </x:c>
      <x:c r="F14" s="1"/>
      <x:c r="G14" s="1" t="str">
        <x:v>产品范围</x:v>
      </x:c>
      <x:c r="H14" s="1" t="str">
        <x:v>ZCSH；产品链接见持仓录入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0</x:v>
      </x:c>
      <x:c r="N14" s="1" t="n">
        <x:f>MIN(B14,0)</x:f>
        <x:v>-5.2</x:v>
      </x:c>
    </x:row>
    <x:row r="15" ht="28" customHeight="1">
      <x:c r="A15" s="14" t="str">
        <x:v>10-14</x:v>
      </x:c>
      <x:c r="B15" s="5" t="n">
        <x:v>3.7</x:v>
      </x:c>
      <x:c r="C15" s="1"/>
      <x:c r="D15" s="14" t="str">
        <x:v>10-15</x:v>
      </x:c>
      <x:c r="E15" s="47" t="n">
        <x:v>1146.777997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10-14</x:v>
      </x:c>
      <x:c r="M15" s="1" t="n">
        <x:f>MAX(B15,0)</x:f>
        <x:v>3.7</x:v>
      </x:c>
      <x:c r="N15" s="1" t="n">
        <x:f>MIN(B15,0)</x:f>
        <x:v>0</x:v>
      </x:c>
    </x:row>
    <x:row r="16" ht="28" customHeight="1">
      <x:c r="A16" s="14" t="str">
        <x:v>10-15</x:v>
      </x:c>
      <x:c r="B16" s="5" t="n">
        <x:v>-14.8</x:v>
      </x:c>
      <x:c r="C16" s="1"/>
      <x:c r="D16" s="14" t="str">
        <x:v>10-16</x:v>
      </x:c>
      <x:c r="E16" s="47" t="n">
        <x:v>1220.527705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-14.8</x:v>
      </x:c>
    </x:row>
    <x:row r="17" ht="28" customHeight="1">
      <x:c r="A17" s="14" t="str">
        <x:v>10-16</x:v>
      </x:c>
      <x:c r="B17" s="5" t="n">
        <x:v>-1.2</x:v>
      </x:c>
      <x:c r="C17" s="1"/>
      <x:c r="D17" s="14" t="str">
        <x:v>10-17</x:v>
      </x:c>
      <x:c r="E17" s="47" t="n">
        <x:v>1146.803584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-1.2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4" t="str">
        <x:v>资金净流入以美元计，不等于 ETF 原生 ZEC 持仓变化；不同来源更新时间不能混用。</x:v>
      </x:c>
      <x:c r="B19" s="44"/>
      <x:c r="C19" s="44"/>
      <x:c r="D19" s="44"/>
      <x:c r="E19" s="44"/>
      <x:c r="F19" s="44"/>
      <x:c r="G19" s="44"/>
      <x:c r="H19" s="44"/>
      <x:c r="I19" s="44"/>
      <x:c r="J19" s="44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48" t="str">
        <x:v>最近完整交易日产品贡献 · 2026-10-16 美东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1"/>
      <x:c r="L21" s="1"/>
      <x:c r="M21" s="1"/>
      <x:c r="N21" s="1"/>
    </x:row>
    <x:row r="22" ht="28" customHeight="1">
      <x:c r="A22" s="49" t="str">
        <x:v>产品</x:v>
      </x:c>
      <x:c r="B22" s="49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ZCSH</x:v>
      </x:c>
      <x:c r="B23" s="50" t="n">
        <x:v>-1.2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https://farside.co.uk/zec/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1" t="str">
        <x:v>产品贡献合计仅包含非零项目；其余产品在来源表中为 0.0 或未披露，以来源原表为准。</x:v>
      </x:c>
      <x:c r="E26" s="51"/>
      <x:c r="F26" s="51"/>
      <x:c r="G26" s="51"/>
      <x:c r="H26" s="51"/>
      <x:c r="I26" s="51"/>
      <x:c r="J26" s="51"/>
      <x:c r="K26" s="1"/>
      <x:c r="L26" s="1"/>
      <x:c r="M26" s="1"/>
      <x:c r="N26" s="1"/>
    </x:row>
    <x:row r="27" ht="28" customHeight="1">
      <x:c r="A27" s="1"/>
      <x:c r="B27" s="1"/>
      <x:c r="C27" s="1"/>
      <x:c r="D27" s="51"/>
      <x:c r="E27" s="51"/>
      <x:c r="F27" s="51"/>
      <x:c r="G27" s="51"/>
      <x:c r="H27" s="51"/>
      <x:c r="I27" s="51"/>
      <x:c r="J27" s="5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ZEC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2"/>
      <x:c r="C4" s="14"/>
      <x:c r="D4" s="53"/>
      <x:c r="E4" s="36"/>
      <x:c r="F4" s="36"/>
      <x:c r="G4" s="1"/>
      <x:c r="H4" s="1"/>
    </x:row>
    <x:row r="5" ht="29" customHeight="1">
      <x:c r="A5" s="1"/>
      <x:c r="B5" s="52"/>
      <x:c r="C5" s="14"/>
      <x:c r="D5" s="53"/>
      <x:c r="E5" s="36"/>
      <x:c r="F5" s="36"/>
      <x:c r="G5" s="1"/>
      <x:c r="H5" s="1"/>
    </x:row>
    <x:row r="6" ht="29" customHeight="1">
      <x:c r="A6" s="1"/>
      <x:c r="B6" s="52"/>
      <x:c r="C6" s="14"/>
      <x:c r="D6" s="53"/>
      <x:c r="E6" s="36"/>
      <x:c r="F6" s="36"/>
      <x:c r="G6" s="1"/>
      <x:c r="H6" s="1"/>
    </x:row>
    <x:row r="7" ht="29" customHeight="1">
      <x:c r="A7" s="8" t="str">
        <x:v>重要动态</x:v>
      </x:c>
      <x:c r="B7" s="61" t="str">
        <x:v>事件日期</x:v>
      </x:c>
      <x:c r="C7" s="8" t="str">
        <x:v>发布日期</x:v>
      </x:c>
      <x:c r="D7" s="59" t="str">
        <x:v>核验状态</x:v>
      </x:c>
      <x:c r="E7" s="59" t="str">
        <x:v>摘要</x:v>
      </x:c>
      <x:c r="F7" s="59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2"/>
      <x:c r="C8" s="14"/>
      <x:c r="D8" s="53"/>
      <x:c r="E8" s="36"/>
      <x:c r="F8" s="36"/>
      <x:c r="G8" s="1"/>
      <x:c r="H8" s="1"/>
    </x:row>
    <x:row r="9" ht="29" customHeight="1">
      <x:c r="A9" s="36"/>
      <x:c r="B9" s="52"/>
      <x:c r="C9" s="14"/>
      <x:c r="D9" s="53"/>
      <x:c r="E9" s="36"/>
      <x:c r="F9" s="36"/>
      <x:c r="G9" s="1"/>
      <x:c r="H9" s="1"/>
    </x:row>
    <x:row r="10" ht="29" customHeight="1">
      <x:c r="A10" s="36"/>
      <x:c r="B10" s="52"/>
      <x:c r="C10" s="14"/>
      <x:c r="D10" s="53"/>
      <x:c r="E10" s="36"/>
      <x:c r="F10" s="36"/>
      <x:c r="G10" s="1"/>
      <x:c r="H10" s="1"/>
    </x:row>
    <x:row r="11" ht="29" customHeight="1">
      <x:c r="A11" s="66" t="str">
        <x:v>数据口径：链上活动是网络指标，不能等同于代币现金流；事件日期与文章发布日期分别记录。</x:v>
      </x:c>
      <x:c r="B11" s="67"/>
      <x:c r="C11" s="68"/>
      <x:c r="D11" s="69"/>
      <x:c r="E11" s="66"/>
      <x:c r="F11" s="66"/>
      <x:c r="G11" s="44"/>
      <x:c r="H11" s="44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0" t="str">
        <x:v>来源与产品范围核验</x:v>
      </x:c>
      <x:c r="B13" s="71"/>
      <x:c r="C13" s="71"/>
      <x:c r="D13" s="71"/>
      <x:c r="E13" s="70"/>
      <x:c r="F13" s="71"/>
      <x:c r="G13" s="1"/>
      <x:c r="H13" s="1"/>
    </x:row>
    <x:row r="14" ht="32" customHeight="1">
      <x:c r="A14" s="36" t="str">
        <x:v>CoinGecko</x:v>
      </x:c>
      <x:c r="B14" s="1" t="str">
        <x:v>https://api.coingecko.com/api/v3/coins/markets?vs_currency=usd&amp;ids=uniswap%2Czcash&amp;price_change_percentage=7d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72" t="str">
        <x:v>ZCSH SEC prospectus</x:v>
      </x:c>
      <x:c r="B15" s="9" t="str">
        <x:v>https://www.sec.gov/Archives/edgar/data/1720265/000119312526363603/zcsh__424b3.htm</x:v>
      </x:c>
      <x:c r="C15" s="9"/>
      <x:c r="D15" s="9"/>
      <x:c r="E15" s="72"/>
      <x:c r="F15" s="9"/>
      <x:c r="G15" s="1"/>
      <x:c r="H15" s="1"/>
    </x:row>
    <x:row r="16" ht="32" customHeight="1">
      <x:c r="A16" s="1" t="str">
        <x:v>ZCSH transcribed holdings</x:v>
      </x:c>
      <x:c r="B16" s="1" t="str">
        <x:v>https://www.zecmetrics.io/markets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ZCSH issuer</x:v>
      </x:c>
      <x:c r="B17" s="9" t="str">
        <x:v>https://etfs.grayscale.com/zcsh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Farside ZEC flows</x:v>
      </x:c>
      <x:c r="B18" s="1" t="str">
        <x:v>https://farside.co.uk/zec/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