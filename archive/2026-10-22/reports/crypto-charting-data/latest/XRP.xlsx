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6d3a917a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ed39650baf9b4cae"/>
    <x:sheet xmlns:r="http://schemas.openxmlformats.org/officeDocument/2006/relationships" name="持仓录入" sheetId="2" r:id="Rc497aa1c5d074f3d"/>
    <x:sheet xmlns:r="http://schemas.openxmlformats.org/officeDocument/2006/relationships" name="行情与资金流" sheetId="3" r:id="Rf389a0240c494c03"/>
    <x:sheet xmlns:r="http://schemas.openxmlformats.org/officeDocument/2006/relationships" name="链上与动态" sheetId="4" r:id="R22153ef3bc20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53216689b447a" /><Relationship Type="http://schemas.openxmlformats.org/officeDocument/2006/relationships/theme" Target="/xl/theme/theme1.xml" Id="R0085b5a5b446480b" /><Relationship Type="http://schemas.openxmlformats.org/officeDocument/2006/relationships/sharedStrings" Target="/xl/sharedStrings.xml" Id="Re108e87d97cb4e3b" /><Relationship Type="http://schemas.openxmlformats.org/officeDocument/2006/relationships/worksheet" Target="/xl/worksheets/sheet1.xml" Id="Red39650baf9b4cae" /><Relationship Type="http://schemas.openxmlformats.org/officeDocument/2006/relationships/worksheet" Target="/xl/worksheets/sheet2.xml" Id="Rc497aa1c5d074f3d" /><Relationship Type="http://schemas.openxmlformats.org/officeDocument/2006/relationships/worksheet" Target="/xl/worksheets/sheet3.xml" Id="Rf389a0240c494c03" /><Relationship Type="http://schemas.openxmlformats.org/officeDocument/2006/relationships/worksheet" Target="/xl/worksheets/sheet4.xml" Id="R22153ef3bc204b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9404a4a1ab4c7b" /><Relationship Type="http://schemas.openxmlformats.org/officeDocument/2006/relationships/chart" Target="/xl/drawings/charts/chart2.xml" Id="Ra2756d04939046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9404a4a1ab4c7b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756d04939046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3b737c86fc4a9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2026.10.22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12:10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4/5；2026-10-20 同日样本 4/5；异日数不入小计。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1.35</x:v>
      </x:c>
      <x:c r="B10" s="134"/>
      <x:c r="C10" s="135"/>
      <x:c r="D10" s="181" t="n">
        <x:f>'行情与资金流'!B5</x:f>
        <x:v>0.0099021</x:v>
      </x:c>
      <x:c r="E10" s="182"/>
      <x:c r="F10" s="183"/>
      <x:c r="G10" s="181" t="n">
        <x:f>'行情与资金流'!B8</x:f>
        <x:v>0.020531999999999998</x:v>
      </x:c>
      <x:c r="H10" s="182"/>
      <x:c r="I10" s="183"/>
      <x:c r="J10" s="196" t="n">
        <x:f>'行情与资金流'!B6</x:f>
        <x:v>1845810688</x:v>
      </x:c>
      <x:c r="K10" s="197"/>
      <x:c r="L10" s="198"/>
      <x:c r="M10" s="196" t="n">
        <x:f>'行情与资金流'!B7</x:f>
        <x:v>84940602735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2026-10-20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1069157414.41</x:v>
      </x:c>
      <x:c r="H16" s="298"/>
      <x:c r="I16" s="299"/>
      <x:c r="J16" s="306" t="n">
        <x:v>5</x:v>
      </x:c>
      <x:c r="K16" s="307"/>
      <x:c r="L16" s="308"/>
      <x:c r="M16" s="315" t="n">
        <x:f>'行情与资金流'!B9</x:f>
        <x:v>63129671205</x:v>
      </x:c>
      <x:c r="N16" s="316"/>
      <x:c r="O16" s="317"/>
      <x:c r="P16" s="315" t="str">
        <x:v>1/5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4/5只 · 2026-10-20美东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逐日收盘变动</x:v>
      </x:c>
      <x:c r="H21" s="322"/>
      <x:c r="I21" s="322"/>
      <x:c r="J21" s="322"/>
      <x:c r="K21" s="322"/>
      <x:c r="L21" s="323"/>
      <x:c r="M21" s="321" t="str">
        <x:v>ETF 持仓核实范围</x:v>
      </x:c>
      <x:c r="N21" s="322"/>
      <x:c r="O21" s="322"/>
      <x:c r="P21" s="322"/>
      <x:c r="Q21" s="322"/>
      <x:c r="R21" s="323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27" t="str">
        <x:v>逐只可查 4/5 · 同日样本 4/5</x:v>
      </x:c>
      <x:c r="N23" s="328"/>
      <x:c r="O23" s="328"/>
      <x:c r="P23" s="328"/>
      <x:c r="Q23" s="328"/>
      <x:c r="R23" s="329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27"/>
      <x:c r="N24" s="328"/>
      <x:c r="O24" s="328"/>
      <x:c r="P24" s="328"/>
      <x:c r="Q24" s="328"/>
      <x:c r="R24" s="329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3" t="str">
        <x:v>XRP   XRPC   XRPZ   GXRP   TOXR</x:v>
      </x:c>
      <x:c r="N26" s="334"/>
      <x:c r="O26" s="334"/>
      <x:c r="P26" s="334"/>
      <x:c r="Q26" s="334"/>
      <x:c r="R26" s="335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3"/>
      <x:c r="N27" s="334"/>
      <x:c r="O27" s="334"/>
      <x:c r="P27" s="334"/>
      <x:c r="Q27" s="334"/>
      <x:c r="R27" s="335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1" t="str">
        <x:v>统计范围</x:v>
      </x:c>
      <x:c r="N30" s="342"/>
      <x:c r="O30" s="342"/>
      <x:c r="P30" s="343" t="str">
        <x:v>纯现货信托</x:v>
      </x:c>
      <x:c r="Q30" s="343"/>
      <x:c r="R30" s="344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5"/>
      <x:c r="N31" s="346"/>
      <x:c r="O31" s="346"/>
      <x:c r="P31" s="343"/>
      <x:c r="Q31" s="343"/>
      <x:c r="R31" s="344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0" t="str">
        <x:v>不含 BITW 多资产与 XRPR 间接持仓</x:v>
      </x:c>
      <x:c r="N33" s="351"/>
      <x:c r="O33" s="351"/>
      <x:c r="P33" s="351"/>
      <x:c r="Q33" s="351"/>
      <x:c r="R33" s="352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XRP ETF 产品明细  ·  持仓日期逐只标注  ·  流量 待披露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XRP</x:v>
      </x:c>
      <x:c r="B38" s="371"/>
      <x:c r="C38" s="372" t="str">
        <x:f>'持仓录入'!G18</x:f>
        <x:v>Bitwise</x:v>
      </x:c>
      <x:c r="D38" s="372"/>
      <x:c r="E38" s="373" t="n">
        <x:f>'持仓录入'!J18</x:f>
        <x:v>0.34</x:v>
      </x:c>
      <x:c r="F38" s="372"/>
      <x:c r="G38" s="374" t="n">
        <x:f>'持仓录入'!H18</x:f>
        <x:v>416612999.88</x:v>
      </x:c>
      <x:c r="H38" s="375"/>
      <x:c r="I38" s="375"/>
      <x:c r="J38" s="375"/>
      <x:c r="K38" s="376" t="str">
        <x:f>'持仓录入'!I18</x:f>
        <x:v>2026-10-20</x:v>
      </x:c>
      <x:c r="L38" s="376"/>
      <x:c r="M38" s="377" t="str">
        <x:v>未披露</x:v>
      </x:c>
      <x:c r="N38" s="378"/>
      <x:c r="O38" s="378"/>
      <x:c r="P38" s="376" t="str">
        <x:v>—</x:v>
      </x:c>
      <x:c r="Q38" s="376"/>
      <x:c r="R38" s="379"/>
    </x:row>
    <x:row r="39" ht="27" customHeight="1">
      <x:c r="A39" s="390" t="str">
        <x:f>'持仓录入'!F19</x:f>
        <x:v>XRPC</x:v>
      </x:c>
      <x:c r="B39" s="391"/>
      <x:c r="C39" s="15" t="str">
        <x:f>'持仓录入'!G19</x:f>
        <x:v>Canary</x:v>
      </x:c>
      <x:c r="D39" s="15"/>
      <x:c r="E39" s="392" t="n">
        <x:f>'持仓录入'!J19</x:f>
        <x:v>0.5</x:v>
      </x:c>
      <x:c r="F39" s="15"/>
      <x:c r="G39" s="393" t="n">
        <x:f>'持仓录入'!H19</x:f>
        <x:v>243453463.31</x:v>
      </x:c>
      <x:c r="H39" s="394"/>
      <x:c r="I39" s="394"/>
      <x:c r="J39" s="394"/>
      <x:c r="K39" s="395" t="str">
        <x:f>'持仓录入'!I19</x:f>
        <x:v>2026-10-20</x:v>
      </x:c>
      <x:c r="L39" s="395"/>
      <x:c r="M39" s="396" t="str">
        <x:v>未披露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0" t="str">
        <x:f>'持仓录入'!F20</x:f>
        <x:v>XRPZ</x:v>
      </x:c>
      <x:c r="B40" s="371"/>
      <x:c r="C40" s="372" t="str">
        <x:f>'持仓录入'!G20</x:f>
        <x:v>Franklin Templeton</x:v>
      </x:c>
      <x:c r="D40" s="372"/>
      <x:c r="E40" s="373" t="str">
        <x:v>待核实</x:v>
      </x:c>
      <x:c r="F40" s="372"/>
      <x:c r="G40" s="374" t="n">
        <x:f>'持仓录入'!H20</x:f>
        <x:v>301795330.58</x:v>
      </x:c>
      <x:c r="H40" s="375"/>
      <x:c r="I40" s="375"/>
      <x:c r="J40" s="375"/>
      <x:c r="K40" s="376" t="str">
        <x:f>'持仓录入'!I20</x:f>
        <x:v>2026-10-20</x:v>
      </x:c>
      <x:c r="L40" s="376"/>
      <x:c r="M40" s="377" t="str">
        <x:v>未披露</x:v>
      </x:c>
      <x:c r="N40" s="378"/>
      <x:c r="O40" s="378"/>
      <x:c r="P40" s="376" t="str">
        <x:v>—</x:v>
      </x:c>
      <x:c r="Q40" s="376"/>
      <x:c r="R40" s="379"/>
    </x:row>
    <x:row r="41" ht="27" customHeight="1">
      <x:c r="A41" s="390" t="str">
        <x:f>'持仓录入'!F21</x:f>
        <x:v>GXRP</x:v>
      </x:c>
      <x:c r="B41" s="391"/>
      <x:c r="C41" s="15" t="str">
        <x:f>'持仓录入'!G21</x:f>
        <x:v>Grayscale</x:v>
      </x:c>
      <x:c r="D41" s="15"/>
      <x:c r="E41" s="392" t="str">
        <x:v>待核实</x:v>
      </x:c>
      <x:c r="F41" s="15"/>
      <x:c r="G41" s="400" t="str">
        <x:v>未核实</x:v>
      </x:c>
      <x:c r="H41" s="397"/>
      <x:c r="I41" s="397"/>
      <x:c r="J41" s="397"/>
      <x:c r="K41" s="395" t="str">
        <x:v>—</x:v>
      </x:c>
      <x:c r="L41" s="395"/>
      <x:c r="M41" s="396" t="str">
        <x:v>未披露</x:v>
      </x:c>
      <x:c r="N41" s="397"/>
      <x:c r="O41" s="397"/>
      <x:c r="P41" s="395" t="str">
        <x:v>—</x:v>
      </x:c>
      <x:c r="Q41" s="395"/>
      <x:c r="R41" s="398"/>
    </x:row>
    <x:row r="42" ht="27" customHeight="1">
      <x:c r="A42" s="370" t="str">
        <x:f>'持仓录入'!F22</x:f>
        <x:v>TOXR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0.3</x:v>
      </x:c>
      <x:c r="F42" s="372"/>
      <x:c r="G42" s="374" t="n">
        <x:f>'持仓录入'!H22</x:f>
        <x:v>107295620.64</x:v>
      </x:c>
      <x:c r="H42" s="375"/>
      <x:c r="I42" s="375"/>
      <x:c r="J42" s="375"/>
      <x:c r="K42" s="376" t="str">
        <x:f>'持仓录入'!I22</x:f>
        <x:v>2026-10-20</x:v>
      </x:c>
      <x:c r="L42" s="376"/>
      <x:c r="M42" s="377" t="str">
        <x:v>未披露</x:v>
      </x:c>
      <x:c r="N42" s="378"/>
      <x:c r="O42" s="378"/>
      <x:c r="P42" s="376" t="str">
        <x:v>—</x:v>
      </x:c>
      <x:c r="Q42" s="376"/>
      <x:c r="R42" s="379"/>
    </x:row>
    <x:row r="43" ht="34" customHeight="1">
      <x:c r="A43" s="408" t="str">
        <x:v>已核实持仓样本 4/5 只</x:v>
      </x:c>
      <x:c r="B43" s="409"/>
      <x:c r="C43" s="409"/>
      <x:c r="D43" s="409"/>
      <x:c r="E43" s="409"/>
      <x:c r="F43" s="409"/>
      <x:c r="G43" s="410" t="n">
        <x:f>'持仓录入'!B5</x:f>
        <x:v>1069157414.41</x:v>
      </x:c>
      <x:c r="H43" s="409"/>
      <x:c r="I43" s="409"/>
      <x:c r="J43" s="409"/>
      <x:c r="K43" s="409" t="str">
        <x:v>ETF 净流量 · 待披露 美东</x:v>
      </x:c>
      <x:c r="L43" s="409"/>
      <x:c r="M43" s="409"/>
      <x:c r="N43" s="409"/>
      <x:c r="O43" s="409"/>
      <x:c r="P43" s="411" t="str">
        <x:v>待披露</x:v>
      </x:c>
      <x:c r="Q43" s="409"/>
      <x:c r="R43" s="412"/>
    </x:row>
    <x:row r="44" ht="23" customHeight="1">
      <x:c r="A44" s="347" t="str">
        <x:v>口径：转录行日期为数据集 settled 观察日；直接披露行用发行商日期；不据此混算原生币日变化。</x:v>
      </x:c>
      <x:c r="B44" s="348"/>
      <x:c r="C44" s="348"/>
      <x:c r="D44" s="348"/>
      <x:c r="E44" s="348"/>
      <x:c r="F44" s="348"/>
      <x:c r="G44" s="348"/>
      <x:c r="H44" s="348"/>
      <x:c r="I44" s="348"/>
      <x:c r="J44" s="348"/>
      <x:c r="K44" s="348"/>
      <x:c r="L44" s="348"/>
      <x:c r="M44" s="348"/>
      <x:c r="N44" s="348"/>
      <x:c r="O44" s="348"/>
      <x:c r="P44" s="348"/>
      <x:c r="Q44" s="348"/>
      <x:c r="R44" s="349"/>
    </x:row>
    <x:row r="45" ht="23" customHeight="1">
      <x:c r="A45" s="347" t="str">
        <x:v>0.0 表示来源明确披露零流量；“未披露”或“未核实”表示缺失，不能填零。</x:v>
      </x:c>
      <x:c r="B45" s="348"/>
      <x:c r="C45" s="348"/>
      <x:c r="D45" s="348"/>
      <x:c r="E45" s="348"/>
      <x:c r="F45" s="348"/>
      <x:c r="G45" s="348"/>
      <x:c r="H45" s="348"/>
      <x:c r="I45" s="348"/>
      <x:c r="J45" s="348"/>
      <x:c r="K45" s="348"/>
      <x:c r="L45" s="348"/>
      <x:c r="M45" s="348"/>
      <x:c r="N45" s="348"/>
      <x:c r="O45" s="348"/>
      <x:c r="P45" s="348"/>
      <x:c r="Q45" s="348"/>
      <x:c r="R45" s="349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3" t="str">
        <x:v>行情观察 12:10 北京时间｜收盘截至 2026-10-21 UTC｜持仓样本 2026-10-20 美东（逐只日期见表）｜流量 待披露 美东</x:v>
      </x:c>
      <x:c r="B48" s="413"/>
      <x:c r="C48" s="413"/>
      <x:c r="D48" s="413"/>
      <x:c r="E48" s="413"/>
      <x:c r="F48" s="413"/>
      <x:c r="G48" s="413"/>
      <x:c r="H48" s="413"/>
      <x:c r="I48" s="413"/>
      <x:c r="J48" s="413"/>
      <x:c r="K48" s="413"/>
      <x:c r="L48" s="413"/>
      <x:c r="M48" s="413"/>
      <x:c r="N48" s="413"/>
      <x:c r="O48" s="413"/>
      <x:c r="P48" s="413"/>
      <x:c r="Q48" s="413"/>
      <x:c r="R48" s="413"/>
    </x:row>
    <x:row r="49" ht="23" customHeight="1">
      <x:c r="A49" s="413" t="str">
        <x:v>原始行情采集 2026-10-22T12:11:24+08:00｜本次产品明细核验 2026-10-22T12:11:24+08:00</x:v>
      </x:c>
      <x:c r="B49" s="413"/>
      <x:c r="C49" s="413"/>
      <x:c r="D49" s="413"/>
      <x:c r="E49" s="413"/>
      <x:c r="F49" s="413"/>
      <x:c r="G49" s="413"/>
      <x:c r="H49" s="413"/>
      <x:c r="I49" s="413"/>
      <x:c r="J49" s="413"/>
      <x:c r="K49" s="413"/>
      <x:c r="L49" s="413"/>
      <x:c r="M49" s="413"/>
      <x:c r="N49" s="413"/>
      <x:c r="O49" s="413"/>
      <x:c r="P49" s="413"/>
      <x:c r="Q49" s="413"/>
      <x:c r="R49" s="413"/>
    </x:row>
    <x:row r="50" ht="23" customHeight="1">
      <x:c r="A50" s="413" t="str">
        <x:v>行情、ETF 持仓、美元流量和链上指标属于不同口径，均按各自来源日期展示。</x:v>
      </x:c>
      <x:c r="B50" s="413"/>
      <x:c r="C50" s="413"/>
      <x:c r="D50" s="413"/>
      <x:c r="E50" s="413"/>
      <x:c r="F50" s="413"/>
      <x:c r="G50" s="413"/>
      <x:c r="H50" s="413"/>
      <x:c r="I50" s="413"/>
      <x:c r="J50" s="413"/>
      <x:c r="K50" s="413"/>
      <x:c r="L50" s="413"/>
      <x:c r="M50" s="413"/>
      <x:c r="N50" s="413"/>
      <x:c r="O50" s="413"/>
      <x:c r="P50" s="413"/>
      <x:c r="Q50" s="413"/>
      <x:c r="R50" s="413"/>
    </x:row>
    <x:row r="51" ht="23" customHeight="1">
      <x:c r="A51" s="413" t="str">
        <x:v>产品链接、费率与流量来源见「持仓录入」；价格历史见「行情与资金流」；链上数据见「链上与动态」。</x:v>
      </x:c>
      <x:c r="B51" s="413"/>
      <x:c r="C51" s="413"/>
      <x:c r="D51" s="413"/>
      <x:c r="E51" s="413"/>
      <x:c r="F51" s="413"/>
      <x:c r="G51" s="413"/>
      <x:c r="H51" s="413"/>
      <x:c r="I51" s="413"/>
      <x:c r="J51" s="413"/>
      <x:c r="K51" s="413"/>
      <x:c r="L51" s="413"/>
      <x:c r="M51" s="413"/>
      <x:c r="N51" s="413"/>
      <x:c r="O51" s="413"/>
      <x:c r="P51" s="413"/>
      <x:c r="Q51" s="413"/>
      <x:c r="R51" s="413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003b737c86fc4a9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2026-10-20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4/5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1069157414.41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416612999.88</x:v>
      </x:c>
      <x:c r="I18" s="16" t="str">
        <x:v>2026-10-20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243453463.31</x:v>
      </x:c>
      <x:c r="I19" s="17" t="str">
        <x:v>2026-10-20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301795330.58</x:v>
      </x:c>
      <x:c r="I20" s="16" t="str">
        <x:v>2026-10-20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2026-10-20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4/5。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2026-10-22 12:11:24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1.35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0.0099021</x:v>
      </x:c>
      <x:c r="C5" s="1"/>
      <x:c r="D5" s="1" t="str">
        <x:v>持币总量状态</x:v>
      </x:c>
      <x:c r="E5" s="1" t="str">
        <x:v>逐只 4/5；同日 4/5；总量待核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1845810688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84940602735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0.020531999999999998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10-15</x:v>
      </x:c>
      <x:c r="E11" s="57" t="n">
        <x:v>1.333544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10-16</x:v>
      </x:c>
      <x:c r="M11" s="58" t="n">
        <x:f>MAX(E12/E11-1,0)</x:f>
        <x:v>0</x:v>
      </x:c>
      <x:c r="N11" s="58" t="n">
        <x:f>MIN(E12/E11-1,0)</x:f>
        <x:v>-0.017676207159268986</x:v>
      </x:c>
    </x:row>
    <x:row r="12" ht="48" customHeight="1">
      <x:c r="A12" s="55"/>
      <x:c r="B12" s="56"/>
      <x:c r="C12" s="1"/>
      <x:c r="D12" s="14" t="str">
        <x:v>10-16</x:v>
      </x:c>
      <x:c r="E12" s="57" t="n">
        <x:v>1.309972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10-17</x:v>
      </x:c>
      <x:c r="M12" s="58" t="n">
        <x:f>MAX(E13/E12-1,0)</x:f>
        <x:v>0</x:v>
      </x:c>
      <x:c r="N12" s="58" t="n">
        <x:f>MIN(E13/E12-1,0)</x:f>
        <x:v>-0.013219366520811016</x:v>
      </x:c>
    </x:row>
    <x:row r="13" ht="28" customHeight="1">
      <x:c r="A13" s="55"/>
      <x:c r="B13" s="56"/>
      <x:c r="C13" s="1"/>
      <x:c r="D13" s="14" t="str">
        <x:v>10-17</x:v>
      </x:c>
      <x:c r="E13" s="57" t="n">
        <x:v>1.292655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10-18</x:v>
      </x:c>
      <x:c r="M13" s="58" t="n">
        <x:f>MAX(E14/E13-1,0)</x:f>
        <x:v>0.01006455705505327</x:v>
      </x:c>
      <x:c r="N13" s="58" t="n">
        <x:f>MIN(E14/E13-1,0)</x:f>
        <x:v>0</x:v>
      </x:c>
    </x:row>
    <x:row r="14" ht="28" customHeight="1">
      <x:c r="A14" s="55"/>
      <x:c r="B14" s="56"/>
      <x:c r="C14" s="1"/>
      <x:c r="D14" s="14" t="str">
        <x:v>10-18</x:v>
      </x:c>
      <x:c r="E14" s="57" t="n">
        <x:v>1.305665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10-19</x:v>
      </x:c>
      <x:c r="M14" s="58" t="n">
        <x:f>MAX(E15/E14-1,0)</x:f>
        <x:v>0</x:v>
      </x:c>
      <x:c r="N14" s="58" t="n">
        <x:f>MIN(E15/E14-1,0)</x:f>
        <x:v>-0.001962984379607402</x:v>
      </x:c>
    </x:row>
    <x:row r="15" ht="48" customHeight="1">
      <x:c r="A15" s="55"/>
      <x:c r="B15" s="56"/>
      <x:c r="C15" s="1"/>
      <x:c r="D15" s="14" t="str">
        <x:v>10-19</x:v>
      </x:c>
      <x:c r="E15" s="57" t="n">
        <x:v>1.303102</x:v>
      </x:c>
      <x:c r="F15" s="1"/>
      <x:c r="G15" s="1" t="str">
        <x:v>行情时间口径</x:v>
      </x:c>
      <x:c r="H15" s="36" t="str">
        <x:v>行情提供方更新时间 2026-10-22T04:10:57.000Z</x:v>
      </x:c>
      <x:c r="I15" s="1"/>
      <x:c r="J15" s="1"/>
      <x:c r="K15" s="1"/>
      <x:c r="L15" s="1" t="str">
        <x:f>D16</x:f>
        <x:v>10-20</x:v>
      </x:c>
      <x:c r="M15" s="58" t="n">
        <x:f>MAX(E16/E15-1,0)</x:f>
        <x:v>0.023912172646500585</x:v>
      </x:c>
      <x:c r="N15" s="58" t="n">
        <x:f>MIN(E16/E15-1,0)</x:f>
        <x:v>0</x:v>
      </x:c>
    </x:row>
    <x:row r="16" ht="28" customHeight="1">
      <x:c r="A16" s="55"/>
      <x:c r="B16" s="56"/>
      <x:c r="C16" s="1"/>
      <x:c r="D16" s="14" t="str">
        <x:v>10-20</x:v>
      </x:c>
      <x:c r="E16" s="57" t="n">
        <x:v>1.334262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10-21</x:v>
      </x:c>
      <x:c r="M16" s="58" t="n">
        <x:f>MAX(E17/E16-1,0)</x:f>
        <x:v>0.023080924136339</x:v>
      </x:c>
      <x:c r="N16" s="58" t="n">
        <x:f>MIN(E17/E16-1,0)</x:f>
        <x:v>0</x:v>
      </x:c>
    </x:row>
    <x:row r="17" ht="28" customHeight="1">
      <x:c r="A17" s="55"/>
      <x:c r="B17" s="56"/>
      <x:c r="C17" s="1"/>
      <x:c r="D17" s="14" t="str">
        <x:v>10-21</x:v>
      </x:c>
      <x:c r="E17" s="57" t="n">
        <x:v>1.365058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