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91ff5e9d4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3f2a9ae0c9e541b5"/>
    <x:sheet xmlns:r="http://schemas.openxmlformats.org/officeDocument/2006/relationships" name="持仓录入" sheetId="2" r:id="R02422099e05a429d"/>
    <x:sheet xmlns:r="http://schemas.openxmlformats.org/officeDocument/2006/relationships" name="行情与资金流" sheetId="3" r:id="R76211c95f7c546d9"/>
    <x:sheet xmlns:r="http://schemas.openxmlformats.org/officeDocument/2006/relationships" name="链上与动态" sheetId="4" r:id="R3c322596e9e1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[Red](#,##0.00);–"/>
    <x:numFmt numFmtId="201" formatCode="+#,##0.00;[Red]-#,##0.00;–"/>
    <x:numFmt numFmtId="202" formatCode="0.00%"/>
    <x:numFmt numFmtId="203" formatCode="&quot;$&quot;#,##0.00"/>
    <x:numFmt numFmtId="204" formatCode="+0.00%;[Red]-0.00%;–"/>
    <x:numFmt numFmtId="205" formatCode="&quot;$&quot;#,##0"/>
    <x:numFmt numFmtId="206" formatCode="+#,##0.0;-#,##0.0;0"/>
  </x:numFmts>
  <x:fonts count="22">
    <x:font>
      <x:sz val="11"/>
      <x:name val="Carlito"/>
    </x:font>
    <x:font>
      <x:sz val="10"/>
      <x:color rgb="FF17334B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color rgb="FF765925"/>
      <x:name val="Arial"/>
    </x:font>
    <x:font>
      <x:sz val="11"/>
      <x:color rgb="FF17334B"/>
      <x:name val="Arial"/>
    </x:font>
    <x:font>
      <x:b/>
      <x:sz val="11"/>
      <x:color rgb="FF9B79C2"/>
      <x:name val="Arial"/>
    </x:font>
    <x:font>
      <x:b/>
      <x:sz val="27"/>
      <x:color rgb="FFFFFFFF"/>
      <x:name val="Arial"/>
    </x:font>
    <x:font>
      <x:sz val="12"/>
      <x:color rgb="FFB5C7D8"/>
      <x:name val="Arial"/>
    </x:font>
    <x:font>
      <x:b/>
      <x:sz val="10"/>
      <x:color rgb="FF765925"/>
      <x:name val="Arial"/>
    </x:font>
    <x:font>
      <x:b/>
      <x:sz val="11"/>
      <x:color rgb="FFADC2D5"/>
      <x:name val="Arial"/>
    </x:font>
    <x:font>
      <x:b/>
      <x:sz val="18"/>
      <x:color rgb="FFFFFFFF"/>
      <x:name val="Arial"/>
    </x:font>
    <x:font>
      <x:sz val="10"/>
      <x:color rgb="FFB3C5D4"/>
      <x:name val="Arial"/>
    </x:font>
    <x:font>
      <x:b/>
      <x:sz val="11"/>
      <x:color rgb="FF7B91A7"/>
      <x:name val="Arial"/>
    </x:font>
    <x:font>
      <x:b/>
      <x:sz val="18"/>
      <x:color rgb="FF12957F"/>
      <x:name val="Arial"/>
    </x:font>
    <x:font>
      <x:sz val="10"/>
      <x:color rgb="FF7B91A7"/>
      <x:name val="Arial"/>
    </x:font>
    <x:font>
      <x:b/>
      <x:sz val="18"/>
      <x:color rgb="FFD5486C"/>
      <x:name val="Arial"/>
    </x:font>
    <x:font>
      <x:b/>
      <x:sz val="11"/>
      <x:color rgb="FF17334B"/>
      <x:name val="Arial"/>
    </x:font>
    <x:font>
      <x:b/>
      <x:sz val="12"/>
      <x:color rgb="FF17334B"/>
      <x:name val="Arial"/>
    </x:font>
    <x:font>
      <x:b/>
      <x:sz val="11"/>
      <x:color rgb="FF12957F"/>
      <x:name val="Arial"/>
    </x:font>
    <x:font>
      <x:b/>
      <x:sz val="11"/>
      <x:color rgb="FFD5486C"/>
      <x:name val="Arial"/>
    </x:font>
    <x:font>
      <x:sz val="9"/>
      <x:color rgb="FF7B91A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233B"/>
      </x:patternFill>
    </x:fill>
    <x:fill>
      <x:patternFill patternType="solid">
        <x:fgColor rgb="FF132F4C"/>
      </x:patternFill>
    </x:fill>
    <x:fill>
      <x:patternFill patternType="solid">
        <x:fgColor rgb="FFEDF3F8"/>
      </x:patternFill>
    </x:fill>
    <x:fill>
      <x:patternFill patternType="solid">
        <x:fgColor rgb="FFFFF4DD"/>
      </x:patternFill>
    </x:fill>
    <x:fill>
      <x:patternFill patternType="solid">
        <x:fgColor rgb="FFFFFFFF"/>
      </x:patternFill>
    </x:fill>
    <x:fill>
      <x:patternFill patternType="solid">
        <x:fgColor rgb="FFE2ECF5"/>
      </x:patternFill>
    </x:fill>
    <x:fill>
      <x:patternFill patternType="solid">
        <x:fgColor rgb="FFE7F0F7"/>
      </x:patternFill>
    </x:fill>
  </x:fills>
  <x:borders count="9">
    <x:border>
      <x:left/>
      <x:right/>
      <x:top/>
      <x:bottom/>
      <x:diagonal/>
    </x:border>
    <x:border>
      <x:left style="thin">
        <x:color rgb="FFDCE6EF"/>
      </x:left>
      <x:right/>
      <x:top style="thin">
        <x:color rgb="FFDCE6EF"/>
      </x:top>
      <x:bottom/>
      <x:diagonal/>
    </x:border>
    <x:border>
      <x:left/>
      <x:right/>
      <x:top style="thin">
        <x:color rgb="FFDCE6EF"/>
      </x:top>
      <x:bottom/>
      <x:diagonal/>
    </x:border>
    <x:border>
      <x:left/>
      <x:right style="thin">
        <x:color rgb="FFDCE6EF"/>
      </x:right>
      <x:top style="thin">
        <x:color rgb="FFDCE6EF"/>
      </x:top>
      <x:bottom/>
      <x:diagonal/>
    </x:border>
    <x:border>
      <x:left style="thin">
        <x:color rgb="FFDCE6EF"/>
      </x:left>
      <x:right/>
      <x:top/>
      <x:bottom/>
      <x:diagonal/>
    </x:border>
    <x:border>
      <x:left/>
      <x:right style="thin">
        <x:color rgb="FFDCE6EF"/>
      </x:right>
      <x:top/>
      <x:bottom/>
      <x:diagonal/>
    </x:border>
    <x:border>
      <x:left style="thin">
        <x:color rgb="FFDCE6EF"/>
      </x:left>
      <x:right/>
      <x:top/>
      <x:bottom style="thin">
        <x:color rgb="FFDCE6EF"/>
      </x:bottom>
      <x:diagonal/>
    </x:border>
    <x:border>
      <x:left/>
      <x:right/>
      <x:top/>
      <x:bottom style="thin">
        <x:color rgb="FFDCE6EF"/>
      </x:bottom>
      <x:diagonal/>
    </x:border>
    <x:border>
      <x:left/>
      <x:right style="thin">
        <x:color rgb="FFDCE6EF"/>
      </x:right>
      <x:top/>
      <x:bottom style="thin">
        <x:color rgb="FFDCE6EF"/>
      </x:bottom>
      <x:diagonal/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5" fillId="5" borderId="0" xfId="0" applyNumberFormat="1" applyFont="1" applyFill="1" applyBorder="1"/>
    <x:xf numFmtId="0" fontId="9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10" fillId="2" borderId="1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10" fillId="2" borderId="4" xfId="0" applyNumberFormat="1" applyFont="1" applyFill="1" applyBorder="1"/>
    <x:xf numFmtId="0" fontId="10" fillId="2" borderId="0" xfId="0" applyNumberFormat="1" applyFont="1" applyFill="1" applyBorder="1"/>
    <x:xf numFmtId="0" fontId="10" fillId="2" borderId="5" xfId="0" applyNumberFormat="1" applyFont="1" applyFill="1" applyBorder="1"/>
    <x:xf numFmtId="200" fontId="5" fillId="2" borderId="4" xfId="0" applyNumberFormat="1" applyFont="1" applyFill="1" applyBorder="1"/>
    <x:xf numFmtId="200" fontId="5" fillId="2" borderId="0" xfId="0" applyNumberFormat="1" applyFont="1" applyFill="1" applyBorder="1"/>
    <x:xf numFmtId="200" fontId="5" fillId="2" borderId="5" xfId="0" applyNumberFormat="1" applyFont="1" applyFill="1" applyBorder="1"/>
    <x:xf numFmtId="200" fontId="11" fillId="2" borderId="4" xfId="0" applyNumberFormat="1" applyFont="1" applyFill="1" applyBorder="1"/>
    <x:xf numFmtId="200" fontId="11" fillId="2" borderId="0" xfId="0" applyNumberFormat="1" applyFont="1" applyFill="1" applyBorder="1"/>
    <x:xf numFmtId="200" fontId="11" fillId="2" borderId="5" xfId="0" applyNumberFormat="1" applyFont="1" applyFill="1" applyBorder="1"/>
    <x:xf numFmtId="0" fontId="12" fillId="2" borderId="6" xfId="0" applyNumberFormat="1" applyFont="1" applyFill="1" applyBorder="1"/>
    <x:xf numFmtId="0" fontId="12" fillId="2" borderId="7" xfId="0" applyNumberFormat="1" applyFont="1" applyFill="1" applyBorder="1"/>
    <x:xf numFmtId="0" fontId="12" fillId="2" borderId="8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13" fillId="6" borderId="1" xfId="0" applyNumberFormat="1" applyFont="1" applyFill="1" applyBorder="1"/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6" borderId="4" xfId="0" applyNumberFormat="1" applyFont="1" applyFill="1" applyBorder="1"/>
    <x:xf numFmtId="0" fontId="13" fillId="6" borderId="0" xfId="0" applyNumberFormat="1" applyFont="1" applyFill="1" applyBorder="1"/>
    <x:xf numFmtId="0" fontId="13" fillId="6" borderId="5" xfId="0" applyNumberFormat="1" applyFont="1" applyFill="1" applyBorder="1"/>
    <x:xf numFmtId="201" fontId="5" fillId="6" borderId="4" xfId="0" applyNumberFormat="1" applyFont="1" applyFill="1" applyBorder="1"/>
    <x:xf numFmtId="201" fontId="5" fillId="6" borderId="0" xfId="0" applyNumberFormat="1" applyFont="1" applyFill="1" applyBorder="1"/>
    <x:xf numFmtId="201" fontId="5" fillId="6" borderId="5" xfId="0" applyNumberFormat="1" applyFont="1" applyFill="1" applyBorder="1"/>
    <x:xf numFmtId="201" fontId="14" fillId="6" borderId="4" xfId="0" applyNumberFormat="1" applyFont="1" applyFill="1" applyBorder="1"/>
    <x:xf numFmtId="201" fontId="14" fillId="6" borderId="0" xfId="0" applyNumberFormat="1" applyFont="1" applyFill="1" applyBorder="1"/>
    <x:xf numFmtId="201" fontId="14" fillId="6" borderId="5" xfId="0" applyNumberFormat="1" applyFont="1" applyFill="1" applyBorder="1"/>
    <x:xf numFmtId="0" fontId="15" fillId="6" borderId="6" xfId="0" applyNumberFormat="1" applyFont="1" applyFill="1" applyBorder="1"/>
    <x:xf numFmtId="0" fontId="15" fillId="6" borderId="7" xfId="0" applyNumberFormat="1" applyFont="1" applyFill="1" applyBorder="1"/>
    <x:xf numFmtId="0" fontId="15" fillId="6" borderId="8" xfId="0" applyNumberFormat="1" applyFont="1" applyFill="1" applyBorder="1"/>
    <x:xf numFmtId="201" fontId="16" fillId="6" borderId="4" xfId="0" applyNumberFormat="1" applyFont="1" applyFill="1" applyBorder="1"/>
    <x:xf numFmtId="201" fontId="16" fillId="6" borderId="0" xfId="0" applyNumberFormat="1" applyFont="1" applyFill="1" applyBorder="1"/>
    <x:xf numFmtId="201" fontId="16" fillId="6" borderId="5" xfId="0" applyNumberFormat="1" applyFont="1" applyFill="1" applyBorder="1"/>
    <x:xf numFmtId="0" fontId="5" fillId="7" borderId="0" xfId="0" applyNumberFormat="1" applyFont="1" applyFill="1" applyBorder="1"/>
    <x:xf numFmtId="201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17" fillId="7" borderId="0" xfId="0" applyNumberFormat="1" applyFont="1" applyFill="1" applyBorder="1"/>
    <x:xf numFmtId="201" fontId="17" fillId="7" borderId="0" xfId="0" applyNumberFormat="1" applyFont="1" applyFill="1" applyBorder="1"/>
    <x:xf numFmtId="200" fontId="17" fillId="7" borderId="0" xfId="0" applyNumberFormat="1" applyFont="1" applyFill="1" applyBorder="1"/>
    <x:xf numFmtId="0" fontId="18" fillId="6" borderId="0" xfId="0" applyNumberFormat="1" applyFont="1" applyFill="1" applyBorder="1"/>
    <x:xf numFmtId="201" fontId="19" fillId="6" borderId="0" xfId="0" applyNumberFormat="1" applyFont="1" applyFill="1" applyBorder="1"/>
    <x:xf numFmtId="0" fontId="19" fillId="6" borderId="0" xfId="0" applyNumberFormat="1" applyFont="1" applyFill="1" applyBorder="1"/>
    <x:xf numFmtId="201" fontId="20" fillId="6" borderId="0" xfId="0" applyNumberFormat="1" applyFont="1" applyFill="1" applyBorder="1"/>
    <x:xf numFmtId="0" fontId="20" fillId="6" borderId="0" xfId="0" applyNumberFormat="1" applyFont="1" applyFill="1" applyBorder="1"/>
    <x:xf numFmtId="0" fontId="21" fillId="6" borderId="0" xfId="0" applyNumberFormat="1" applyFont="1" applyFill="1" applyBorder="1"/>
    <x:xf numFmtId="0" fontId="5" fillId="8" borderId="0" xfId="0" applyNumberFormat="1" applyFont="1" applyFill="1" applyBorder="1"/>
    <x:xf numFmtId="200" fontId="5" fillId="6" borderId="0" xfId="0" applyNumberFormat="1" applyFont="1" applyFill="1" applyBorder="1"/>
    <x:xf numFmtId="202" fontId="5" fillId="6" borderId="0" xfId="0" applyNumberFormat="1" applyFont="1" applyFill="1" applyBorder="1"/>
    <x:xf numFmtId="201" fontId="5" fillId="4" borderId="0" xfId="0" applyNumberFormat="1" applyFont="1" applyFill="1" applyBorder="1"/>
    <x:xf numFmtId="200" fontId="5" fillId="4" borderId="0" xfId="0" applyNumberFormat="1" applyFont="1" applyFill="1" applyBorder="1"/>
    <x:xf numFmtId="202" fontId="5" fillId="4" borderId="0" xfId="0" applyNumberFormat="1" applyFont="1" applyFill="1" applyBorder="1"/>
    <x:xf numFmtId="206" fontId="5" fillId="6" borderId="0" xfId="0" applyNumberFormat="1" applyFont="1" applyFill="1" applyBorder="1"/>
    <x:xf numFmtId="206" fontId="14" fillId="6" borderId="0" xfId="0" applyNumberFormat="1" applyFont="1" applyFill="1" applyBorder="1"/>
    <x:xf numFmtId="0" fontId="2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8a8f90e9b408f" /><Relationship Type="http://schemas.openxmlformats.org/officeDocument/2006/relationships/theme" Target="/xl/theme/theme1.xml" Id="R7ef3e1efb40147d9" /><Relationship Type="http://schemas.openxmlformats.org/officeDocument/2006/relationships/sharedStrings" Target="/xl/sharedStrings.xml" Id="R058c87e75956476d" /><Relationship Type="http://schemas.openxmlformats.org/officeDocument/2006/relationships/worksheet" Target="/xl/worksheets/sheet1.xml" Id="R3f2a9ae0c9e541b5" /><Relationship Type="http://schemas.openxmlformats.org/officeDocument/2006/relationships/worksheet" Target="/xl/worksheets/sheet2.xml" Id="R02422099e05a429d" /><Relationship Type="http://schemas.openxmlformats.org/officeDocument/2006/relationships/worksheet" Target="/xl/worksheets/sheet3.xml" Id="R76211c95f7c546d9" /><Relationship Type="http://schemas.openxmlformats.org/officeDocument/2006/relationships/worksheet" Target="/xl/worksheets/sheet4.xml" Id="R3c322596e9e142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3112318b8f4161" /><Relationship Type="http://schemas.openxmlformats.org/officeDocument/2006/relationships/chart" Target="/xl/drawings/charts/chart2.xml" Id="Rea93021de46242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持仓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总持仓 BTC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'持仓录入'!$A$8:$A$14</c:f>
              <c:strCache>
                <c:ptCount val="0"/>
              </c:strCache>
            </c:strRef>
          </c:cat>
          <c:val>
            <c:numRef>
              <c:f>'持仓录入'!$B$8:$B$14</c:f>
              <c:numCache>
                <c:formatCode>#,##0.00;[Red](#,##0.00);–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净变化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日变化 BTC</c:v>
          </c:tx>
          <c:spPr>
            <a:solidFill xmlns:a="http://schemas.openxmlformats.org/drawingml/2006/main">
              <a:srgbClr val="C84C6D"/>
            </a:solidFill>
          </c:spPr>
          <c:invertIfNegative val="0"/>
          <c:cat>
            <c:strRef>
              <c:f>'持仓录入'!$A$8:$A$14</c:f>
              <c:strCache>
                <c:ptCount val="0"/>
              </c:strCache>
            </c:strRef>
          </c:cat>
          <c:val>
            <c:numRef>
              <c:f>'持仓录入'!$C$8:$C$14</c:f>
              <c:numCache>
                <c:formatCode>#,##0.00;[Red](#,##0.00);–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+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3112318b8f416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93021de462428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f77b38187642a8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5" customHeight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 ht="25" customHeight="1">
      <x:c r="A2" s="20" t="str">
        <x:v>CRYPTO CHARTING / DAILY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 ht="25" customHeight="1">
      <x:c r="A3" s="21" t="str">
        <x:v>BTC 现货 ETF 日报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25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5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</x:row>
    <x:row r="6" ht="25" customHeight="1">
      <x:c r="A6" s="22" t="str">
        <x:v>持仓观察日（美东） 2026-10-13   ·   美国现货 ETF</x:v>
      </x:c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</x:row>
    <x:row r="7" ht="25" customHeight="1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</x:row>
    <x:row r="8" ht="25" customHeight="1">
      <x:c r="A8" s="24" t="str">
        <x:v>持仓数据来自用户截图，未独立核验；已核实行情和美元资金流见「行情与资金流」页。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</x:row>
    <x:row r="9" ht="25" customHeight="1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</x:row>
    <x:row r="10" ht="25" customHeight="1">
      <x:c r="A10" s="34" t="str">
        <x:v>总持仓</x:v>
      </x:c>
      <x:c r="B10" s="35"/>
      <x:c r="C10" s="36"/>
      <x:c r="D10" s="58" t="str">
        <x:v>当日净变化</x:v>
      </x:c>
      <x:c r="E10" s="59"/>
      <x:c r="F10" s="60"/>
      <x:c r="G10" s="58" t="str">
        <x:v>最近七交易日</x:v>
      </x:c>
      <x:c r="H10" s="59"/>
      <x:c r="I10" s="60"/>
      <x:c r="J10" s="58" t="str">
        <x:v>本月以来</x:v>
      </x:c>
      <x:c r="K10" s="59"/>
      <x:c r="L10" s="60"/>
      <x:c r="M10" s="58" t="str">
        <x:v>今年以来</x:v>
      </x:c>
      <x:c r="N10" s="59"/>
      <x:c r="O10" s="60"/>
      <x:c r="P10" s="58" t="str">
        <x:v>上市以来</x:v>
      </x:c>
      <x:c r="Q10" s="59"/>
      <x:c r="R10" s="60"/>
    </x:row>
    <x:row r="11" ht="25" customHeight="1">
      <x:c r="A11" s="37"/>
      <x:c r="B11" s="38"/>
      <x:c r="C11" s="39"/>
      <x:c r="D11" s="61"/>
      <x:c r="E11" s="62"/>
      <x:c r="F11" s="63"/>
      <x:c r="G11" s="61"/>
      <x:c r="H11" s="62"/>
      <x:c r="I11" s="63"/>
      <x:c r="J11" s="61"/>
      <x:c r="K11" s="62"/>
      <x:c r="L11" s="63"/>
      <x:c r="M11" s="61"/>
      <x:c r="N11" s="62"/>
      <x:c r="O11" s="63"/>
      <x:c r="P11" s="61"/>
      <x:c r="Q11" s="62"/>
      <x:c r="R11" s="63"/>
    </x:row>
    <x:row r="12" ht="25" customHeight="1">
      <x:c r="A12" s="43" t="n">
        <x:f>'持仓录入'!B5</x:f>
        <x:v>1286689.22</x:v>
      </x:c>
      <x:c r="B12" s="44"/>
      <x:c r="C12" s="45"/>
      <x:c r="D12" s="67" t="n">
        <x:f>'持仓录入'!C14</x:f>
        <x:v>2106.8</x:v>
      </x:c>
      <x:c r="E12" s="68"/>
      <x:c r="F12" s="69"/>
      <x:c r="G12" s="73" t="n">
        <x:f>SUM('持仓录入'!C8:C14)</x:f>
        <x:v>-7125.400000000001</x:v>
      </x:c>
      <x:c r="H12" s="74"/>
      <x:c r="I12" s="75"/>
      <x:c r="J12" s="73" t="n">
        <x:f>'持仓录入'!G3</x:f>
        <x:v>-3708.61</x:v>
      </x:c>
      <x:c r="K12" s="74"/>
      <x:c r="L12" s="75"/>
      <x:c r="M12" s="73" t="n">
        <x:f>'持仓录入'!G4</x:f>
        <x:v>-11277.71</x:v>
      </x:c>
      <x:c r="N12" s="74"/>
      <x:c r="O12" s="75"/>
      <x:c r="P12" s="67" t="n">
        <x:f>'持仓录入'!G5</x:f>
        <x:v>664338.55</x:v>
      </x:c>
      <x:c r="Q12" s="68"/>
      <x:c r="R12" s="69"/>
    </x:row>
    <x:row r="13" ht="25" customHeight="1">
      <x:c r="A13" s="43"/>
      <x:c r="B13" s="44"/>
      <x:c r="C13" s="45"/>
      <x:c r="D13" s="67"/>
      <x:c r="E13" s="68"/>
      <x:c r="F13" s="69"/>
      <x:c r="G13" s="73"/>
      <x:c r="H13" s="74"/>
      <x:c r="I13" s="75"/>
      <x:c r="J13" s="73"/>
      <x:c r="K13" s="74"/>
      <x:c r="L13" s="75"/>
      <x:c r="M13" s="73"/>
      <x:c r="N13" s="74"/>
      <x:c r="O13" s="75"/>
      <x:c r="P13" s="67"/>
      <x:c r="Q13" s="68"/>
      <x:c r="R13" s="69"/>
    </x:row>
    <x:row r="14" ht="25" customHeight="1">
      <x:c r="A14" s="43"/>
      <x:c r="B14" s="44"/>
      <x:c r="C14" s="45"/>
      <x:c r="D14" s="67"/>
      <x:c r="E14" s="68"/>
      <x:c r="F14" s="69"/>
      <x:c r="G14" s="73"/>
      <x:c r="H14" s="74"/>
      <x:c r="I14" s="75"/>
      <x:c r="J14" s="73"/>
      <x:c r="K14" s="74"/>
      <x:c r="L14" s="75"/>
      <x:c r="M14" s="73"/>
      <x:c r="N14" s="74"/>
      <x:c r="O14" s="75"/>
      <x:c r="P14" s="67"/>
      <x:c r="Q14" s="68"/>
      <x:c r="R14" s="69"/>
    </x:row>
    <x:row r="15" ht="25" customHeight="1">
      <x:c r="A15" s="46" t="str">
        <x:v>BTC</x:v>
      </x:c>
      <x:c r="B15" s="47"/>
      <x:c r="C15" s="48"/>
      <x:c r="D15" s="70" t="str">
        <x:v>BTC</x:v>
      </x:c>
      <x:c r="E15" s="71"/>
      <x:c r="F15" s="72"/>
      <x:c r="G15" s="70" t="str">
        <x:v>BTC</x:v>
      </x:c>
      <x:c r="H15" s="71"/>
      <x:c r="I15" s="72"/>
      <x:c r="J15" s="70" t="str">
        <x:v>BTC</x:v>
      </x:c>
      <x:c r="K15" s="71"/>
      <x:c r="L15" s="72"/>
      <x:c r="M15" s="70" t="str">
        <x:v>BTC</x:v>
      </x:c>
      <x:c r="N15" s="71"/>
      <x:c r="O15" s="72"/>
      <x:c r="P15" s="70" t="str">
        <x:v>BTC</x:v>
      </x:c>
      <x:c r="Q15" s="71"/>
      <x:c r="R15" s="72"/>
    </x:row>
    <x:row r="16" ht="25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</x:row>
    <x:row r="17" ht="25" customHeight="1">
      <x:c r="A17" s="79" t="str">
        <x:v>上7交易日合计</x:v>
      </x:c>
      <x:c r="B17" s="79"/>
      <x:c r="C17" s="80" t="n">
        <x:f>'持仓录入'!G2</x:f>
        <x:v>6610.7</x:v>
      </x:c>
      <x:c r="D17" s="79"/>
      <x:c r="E17" s="79"/>
      <x:c r="F17" s="79"/>
      <x:c r="G17" s="79" t="str">
        <x:v>美国总持仓</x:v>
      </x:c>
      <x:c r="H17" s="79"/>
      <x:c r="I17" s="79"/>
      <x:c r="J17" s="81" t="n">
        <x:f>'持仓录入'!B5</x:f>
        <x:v>1286689.22</x:v>
      </x:c>
      <x:c r="K17" s="79"/>
      <x:c r="L17" s="79"/>
      <x:c r="M17" s="79" t="str">
        <x:v>资金流 / 美东10-13</x:v>
      </x:c>
      <x:c r="N17" s="79"/>
      <x:c r="O17" s="79"/>
      <x:c r="P17" s="80" t="n">
        <x:f>'行情与资金流'!E4</x:f>
        <x:v>175.7</x:v>
      </x:c>
      <x:c r="Q17" s="79"/>
      <x:c r="R17" s="79"/>
    </x:row>
    <x:row r="18" ht="25" customHeight="1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</x:row>
    <x:row r="19" ht="25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</x:row>
    <x:row r="20" ht="25" customHeight="1">
      <x:c r="A20" s="82" t="str">
        <x:v>近7交易日总持仓走势</x:v>
      </x:c>
      <x:c r="B20" s="82"/>
      <x:c r="C20" s="82"/>
      <x:c r="D20" s="82"/>
      <x:c r="E20" s="82"/>
      <x:c r="F20" s="82"/>
      <x:c r="G20" s="82" t="str">
        <x:v>近7交易日净变化</x:v>
      </x:c>
      <x:c r="H20" s="82"/>
      <x:c r="I20" s="82"/>
      <x:c r="J20" s="82"/>
      <x:c r="K20" s="82"/>
      <x:c r="L20" s="82"/>
      <x:c r="M20" s="82" t="str">
        <x:v>今日变化焦点</x:v>
      </x:c>
      <x:c r="N20" s="82"/>
      <x:c r="O20" s="82"/>
      <x:c r="P20" s="82"/>
      <x:c r="Q20" s="82"/>
      <x:c r="R20" s="82"/>
    </x:row>
    <x:row r="21" ht="25" customHeight="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</x:row>
    <x:row r="22" ht="25" customHeight="1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</x:row>
    <x:row r="23" ht="25" customHeight="1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 t="str">
        <x:f>'持仓录入'!B21</x:f>
        <x:v>富达</x:v>
      </x:c>
      <x:c r="N23" s="49"/>
      <x:c r="O23" s="49"/>
      <x:c r="P23" s="49"/>
      <x:c r="Q23" s="83" t="n">
        <x:f>'持仓录入'!C21</x:f>
        <x:v>1239.3</x:v>
      </x:c>
      <x:c r="R23" s="84"/>
    </x:row>
    <x:row r="24" ht="25" customHeight="1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</x:row>
    <x:row r="25" ht="25" customHeight="1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 t="str">
        <x:f>'持仓录入'!B20</x:f>
        <x:v>贝莱德</x:v>
      </x:c>
      <x:c r="N25" s="49"/>
      <x:c r="O25" s="49"/>
      <x:c r="P25" s="49"/>
      <x:c r="Q25" s="83" t="n">
        <x:f>'持仓录入'!C20</x:f>
        <x:v>792.46</x:v>
      </x:c>
      <x:c r="R25" s="84"/>
    </x:row>
    <x:row r="26" ht="25" customHeight="1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</x:row>
    <x:row r="27" ht="25" customHeight="1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 t="str">
        <x:f>'持仓录入'!B29</x:f>
        <x:v>摩根士丹利</x:v>
      </x:c>
      <x:c r="N27" s="49"/>
      <x:c r="O27" s="49"/>
      <x:c r="P27" s="49"/>
      <x:c r="Q27" s="83" t="n">
        <x:f>'持仓录入'!C29</x:f>
        <x:v>80.22</x:v>
      </x:c>
      <x:c r="R27" s="84"/>
    </x:row>
    <x:row r="28" ht="25" customHeight="1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</x:row>
    <x:row r="29" ht="25" customHeight="1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</x:row>
    <x:row r="30" ht="25" customHeight="1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</x:row>
    <x:row r="31" ht="25" customHeight="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 t="str">
        <x:f>'持仓录入'!B18</x:f>
        <x:v>灰度</x:v>
      </x:c>
      <x:c r="N31" s="49"/>
      <x:c r="O31" s="49"/>
      <x:c r="P31" s="49"/>
      <x:c r="Q31" s="85" t="n">
        <x:f>'持仓录入'!C18</x:f>
        <x:v>-5.18</x:v>
      </x:c>
      <x:c r="R31" s="86"/>
    </x:row>
    <x:row r="32" ht="25" customHeight="1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</x:row>
    <x:row r="33" ht="25" customHeight="1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</x:row>
    <x:row r="34" ht="25" customHeight="1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87" t="str">
        <x:v>单位 BTC；截图中的产品变化尚待发行商逐项核验。</x:v>
      </x:c>
      <x:c r="N34" s="87"/>
      <x:c r="O34" s="87"/>
      <x:c r="P34" s="87"/>
      <x:c r="Q34" s="87"/>
      <x:c r="R34" s="87"/>
    </x:row>
    <x:row r="35" ht="25" customHeight="1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87"/>
      <x:c r="N35" s="87"/>
      <x:c r="O35" s="87"/>
      <x:c r="P35" s="87"/>
      <x:c r="Q35" s="87"/>
      <x:c r="R35" s="87"/>
    </x:row>
    <x:row r="36" ht="25" customHeight="1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</x:row>
    <x:row r="37" ht="25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</x:row>
    <x:row r="38" ht="25" customHeight="1">
      <x:c r="A38" s="82" t="str">
        <x:v>当日各 ETF 变化（BTC）</x:v>
      </x:c>
      <x:c r="B38" s="82"/>
      <x:c r="C38" s="82"/>
      <x:c r="D38" s="82"/>
      <x:c r="E38" s="82"/>
      <x:c r="F38" s="82"/>
      <x:c r="G38" s="82" t="str">
        <x:v>最新持仓排行（BTC）</x:v>
      </x:c>
      <x:c r="H38" s="82"/>
      <x:c r="I38" s="82"/>
      <x:c r="J38" s="82"/>
      <x:c r="K38" s="82"/>
      <x:c r="L38" s="82"/>
      <x:c r="M38" s="82" t="str">
        <x:v>流向统计</x:v>
      </x:c>
      <x:c r="N38" s="82"/>
      <x:c r="O38" s="82"/>
      <x:c r="P38" s="82"/>
      <x:c r="Q38" s="82"/>
      <x:c r="R38" s="82"/>
    </x:row>
    <x:row r="39" ht="25" customHeight="1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</x:row>
    <x:row r="40" ht="25" customHeight="1">
      <x:c r="A40" s="88" t="str">
        <x:v>产品</x:v>
      </x:c>
      <x:c r="B40" s="88" t="str">
        <x:v>发行商</x:v>
      </x:c>
      <x:c r="C40" s="88" t="str"/>
      <x:c r="D40" s="88" t="str"/>
      <x:c r="E40" s="88" t="str">
        <x:v>变化</x:v>
      </x:c>
      <x:c r="F40" s="88" t="str"/>
      <x:c r="G40" s="88" t="str">
        <x:v>排名</x:v>
      </x:c>
      <x:c r="H40" s="88" t="str">
        <x:v>代码</x:v>
      </x:c>
      <x:c r="I40" s="88" t="str">
        <x:v>基金</x:v>
      </x:c>
      <x:c r="J40" s="88" t="str">
        <x:v>持仓</x:v>
      </x:c>
      <x:c r="K40" s="88" t="str"/>
      <x:c r="L40" s="88" t="str">
        <x:v>占比</x:v>
      </x:c>
      <x:c r="M40" s="49"/>
      <x:c r="N40" s="49"/>
      <x:c r="O40" s="49"/>
      <x:c r="P40" s="49"/>
      <x:c r="Q40" s="49"/>
      <x:c r="R40" s="49"/>
    </x:row>
    <x:row r="41" ht="25" customHeight="1">
      <x:c r="A41" s="49" t="str">
        <x:f>'持仓录入'!A18</x:f>
        <x:v>GBTC</x:v>
      </x:c>
      <x:c r="B41" s="49" t="str">
        <x:f>'持仓录入'!B18</x:f>
        <x:v>灰度</x:v>
      </x:c>
      <x:c r="C41" s="49"/>
      <x:c r="D41" s="49"/>
      <x:c r="E41" s="65" t="n">
        <x:f>'持仓录入'!C18</x:f>
        <x:v>-5.18</x:v>
      </x:c>
      <x:c r="F41" s="49"/>
      <x:c r="G41" s="49" t="n">
        <x:v>1</x:v>
      </x:c>
      <x:c r="H41" s="49" t="str">
        <x:f>'持仓录入'!F18</x:f>
        <x:v>IBIT</x:v>
      </x:c>
      <x:c r="I41" s="49" t="str">
        <x:f>'持仓录入'!G18</x:f>
        <x:v>贝莱德</x:v>
      </x:c>
      <x:c r="J41" s="89" t="n">
        <x:f>'持仓录入'!H18</x:f>
        <x:v>805025.33</x:v>
      </x:c>
      <x:c r="K41" s="49"/>
      <x:c r="L41" s="90" t="n">
        <x:f>'持仓录入'!I18</x:f>
        <x:v>0.6256563881059017</x:v>
      </x:c>
      <x:c r="M41" s="49" t="str">
        <x:v>净增持产品数</x:v>
      </x:c>
      <x:c r="N41" s="49"/>
      <x:c r="O41" s="49"/>
      <x:c r="P41" s="49" t="n">
        <x:f>COUNTIF('持仓录入'!C18:C30,"&gt;0")</x:f>
        <x:v>3</x:v>
      </x:c>
      <x:c r="Q41" s="49"/>
      <x:c r="R41" s="49"/>
    </x:row>
    <x:row r="42" ht="25" customHeight="1">
      <x:c r="A42" s="25" t="str">
        <x:f>'持仓录入'!A19</x:f>
        <x:v>BTC</x:v>
      </x:c>
      <x:c r="B42" s="25" t="str">
        <x:f>'持仓录入'!B19</x:f>
        <x:v>灰度迷你</x:v>
      </x:c>
      <x:c r="C42" s="25"/>
      <x:c r="D42" s="25"/>
      <x:c r="E42" s="91" t="n">
        <x:f>'持仓录入'!C19</x:f>
        <x:v>0</x:v>
      </x:c>
      <x:c r="F42" s="25"/>
      <x:c r="G42" s="25" t="n">
        <x:v>2</x:v>
      </x:c>
      <x:c r="H42" s="25" t="str">
        <x:f>'持仓录入'!F19</x:f>
        <x:v>FBTC</x:v>
      </x:c>
      <x:c r="I42" s="25" t="str">
        <x:f>'持仓录入'!G19</x:f>
        <x:v>富达</x:v>
      </x:c>
      <x:c r="J42" s="92" t="n">
        <x:f>'持仓录入'!H19</x:f>
        <x:v>179411.91</x:v>
      </x:c>
      <x:c r="K42" s="25"/>
      <x:c r="L42" s="93" t="n">
        <x:f>'持仓录入'!I19</x:f>
        <x:v>0.13943686417144305</x:v>
      </x:c>
      <x:c r="M42" s="49"/>
      <x:c r="N42" s="49"/>
      <x:c r="O42" s="49"/>
      <x:c r="P42" s="49"/>
      <x:c r="Q42" s="49"/>
      <x:c r="R42" s="49"/>
    </x:row>
    <x:row r="43" ht="25" customHeight="1">
      <x:c r="A43" s="49" t="str">
        <x:f>'持仓录入'!A20</x:f>
        <x:v>IBIT</x:v>
      </x:c>
      <x:c r="B43" s="49" t="str">
        <x:f>'持仓录入'!B20</x:f>
        <x:v>贝莱德</x:v>
      </x:c>
      <x:c r="C43" s="49"/>
      <x:c r="D43" s="49"/>
      <x:c r="E43" s="65" t="n">
        <x:f>'持仓录入'!C20</x:f>
        <x:v>792.46</x:v>
      </x:c>
      <x:c r="F43" s="49"/>
      <x:c r="G43" s="49" t="n">
        <x:v>3</x:v>
      </x:c>
      <x:c r="H43" s="49" t="str">
        <x:f>'持仓录入'!F20</x:f>
        <x:v>GBTC</x:v>
      </x:c>
      <x:c r="I43" s="49" t="str">
        <x:f>'持仓录入'!G20</x:f>
        <x:v>灰度</x:v>
      </x:c>
      <x:c r="J43" s="89" t="n">
        <x:f>'持仓录入'!H20</x:f>
        <x:v>125977.97</x:v>
      </x:c>
      <x:c r="K43" s="49"/>
      <x:c r="L43" s="90" t="n">
        <x:f>'持仓录入'!I20</x:f>
        <x:v>0.09790862318719046</x:v>
      </x:c>
      <x:c r="M43" s="49" t="str">
        <x:v>净减持产品数</x:v>
      </x:c>
      <x:c r="N43" s="49"/>
      <x:c r="O43" s="49"/>
      <x:c r="P43" s="49" t="n">
        <x:f>COUNTIF('持仓录入'!C18:C30,"&lt;0")</x:f>
        <x:v>1</x:v>
      </x:c>
      <x:c r="Q43" s="49"/>
      <x:c r="R43" s="49"/>
    </x:row>
    <x:row r="44" ht="25" customHeight="1">
      <x:c r="A44" s="25" t="str">
        <x:f>'持仓录入'!A21</x:f>
        <x:v>FBTC</x:v>
      </x:c>
      <x:c r="B44" s="25" t="str">
        <x:f>'持仓录入'!B21</x:f>
        <x:v>富达</x:v>
      </x:c>
      <x:c r="C44" s="25"/>
      <x:c r="D44" s="25"/>
      <x:c r="E44" s="91" t="n">
        <x:f>'持仓录入'!C21</x:f>
        <x:v>1239.3</x:v>
      </x:c>
      <x:c r="F44" s="25"/>
      <x:c r="G44" s="25" t="n">
        <x:v>4</x:v>
      </x:c>
      <x:c r="H44" s="25" t="str">
        <x:f>'持仓录入'!F21</x:f>
        <x:v>BTC</x:v>
      </x:c>
      <x:c r="I44" s="25" t="str">
        <x:f>'持仓录入'!G21</x:f>
        <x:v>灰度迷你</x:v>
      </x:c>
      <x:c r="J44" s="92" t="n">
        <x:f>'持仓录入'!H21</x:f>
        <x:v>63128.17</x:v>
      </x:c>
      <x:c r="K44" s="25"/>
      <x:c r="L44" s="93" t="n">
        <x:f>'持仓录入'!I21</x:f>
        <x:v>0.04906248456795185</x:v>
      </x:c>
      <x:c r="M44" s="49"/>
      <x:c r="N44" s="49"/>
      <x:c r="O44" s="49"/>
      <x:c r="P44" s="49"/>
      <x:c r="Q44" s="49"/>
      <x:c r="R44" s="49"/>
    </x:row>
    <x:row r="45" ht="25" customHeight="1">
      <x:c r="A45" s="49" t="str">
        <x:f>'持仓录入'!A22</x:f>
        <x:v>ARKB</x:v>
      </x:c>
      <x:c r="B45" s="49" t="str">
        <x:f>'持仓录入'!B22</x:f>
        <x:v>ARK 21Shares</x:v>
      </x:c>
      <x:c r="C45" s="49"/>
      <x:c r="D45" s="49"/>
      <x:c r="E45" s="65" t="n">
        <x:f>'持仓录入'!C22</x:f>
        <x:v>0</x:v>
      </x:c>
      <x:c r="F45" s="49"/>
      <x:c r="G45" s="49" t="n">
        <x:v>5</x:v>
      </x:c>
      <x:c r="H45" s="49" t="str">
        <x:f>'持仓录入'!F22</x:f>
        <x:v>BITB</x:v>
      </x:c>
      <x:c r="I45" s="49" t="str">
        <x:f>'持仓录入'!G22</x:f>
        <x:v>Bitwise</x:v>
      </x:c>
      <x:c r="J45" s="89" t="n">
        <x:f>'持仓录入'!H22</x:f>
        <x:v>37290.75</x:v>
      </x:c>
      <x:c r="K45" s="49"/>
      <x:c r="L45" s="90" t="n">
        <x:f>'持仓录入'!I22</x:f>
        <x:v>0.028981940176665194</x:v>
      </x:c>
      <x:c r="M45" s="49" t="str">
        <x:v>零变化产品数</x:v>
      </x:c>
      <x:c r="N45" s="49"/>
      <x:c r="O45" s="49"/>
      <x:c r="P45" s="49" t="n">
        <x:f>COUNTIF('持仓录入'!C18:C30,"=0")</x:f>
        <x:v>9</x:v>
      </x:c>
      <x:c r="Q45" s="49"/>
      <x:c r="R45" s="49"/>
    </x:row>
    <x:row r="46" ht="25" customHeight="1">
      <x:c r="A46" s="25" t="str">
        <x:f>'持仓录入'!A23</x:f>
        <x:v>BITB</x:v>
      </x:c>
      <x:c r="B46" s="25" t="str">
        <x:f>'持仓录入'!B23</x:f>
        <x:v>Bitwise</x:v>
      </x:c>
      <x:c r="C46" s="25"/>
      <x:c r="D46" s="25"/>
      <x:c r="E46" s="91" t="n">
        <x:f>'持仓录入'!C23</x:f>
        <x:v>0</x:v>
      </x:c>
      <x:c r="F46" s="25"/>
      <x:c r="G46" s="25" t="n">
        <x:v>6</x:v>
      </x:c>
      <x:c r="H46" s="25" t="str">
        <x:f>'持仓录入'!F23</x:f>
        <x:v>ARKB</x:v>
      </x:c>
      <x:c r="I46" s="25" t="str">
        <x:f>'持仓录入'!G23</x:f>
        <x:v>ARK 21Shares</x:v>
      </x:c>
      <x:c r="J46" s="92" t="n">
        <x:f>'持仓录入'!H23</x:f>
        <x:v>32024</x:v>
      </x:c>
      <x:c r="K46" s="25"/>
      <x:c r="L46" s="93" t="n">
        <x:f>'持仓录入'!I23</x:f>
        <x:v>0.02488868290977055</x:v>
      </x:c>
      <x:c r="M46" s="49"/>
      <x:c r="N46" s="49"/>
      <x:c r="O46" s="49"/>
      <x:c r="P46" s="49"/>
      <x:c r="Q46" s="49"/>
      <x:c r="R46" s="49"/>
    </x:row>
    <x:row r="47" ht="25" customHeight="1">
      <x:c r="A47" s="49" t="str">
        <x:f>'持仓录入'!A24</x:f>
        <x:v>HODL</x:v>
      </x:c>
      <x:c r="B47" s="49" t="str">
        <x:f>'持仓录入'!B24</x:f>
        <x:v>VanEck</x:v>
      </x:c>
      <x:c r="C47" s="49"/>
      <x:c r="D47" s="49"/>
      <x:c r="E47" s="65" t="n">
        <x:f>'持仓录入'!C24</x:f>
        <x:v>0</x:v>
      </x:c>
      <x:c r="F47" s="49"/>
      <x:c r="G47" s="49" t="n">
        <x:v>7</x:v>
      </x:c>
      <x:c r="H47" s="49" t="str">
        <x:f>'持仓录入'!F24</x:f>
        <x:v>OTHER</x:v>
      </x:c>
      <x:c r="I47" s="49" t="str">
        <x:f>'持仓录入'!G24</x:f>
        <x:v>其他</x:v>
      </x:c>
      <x:c r="J47" s="89" t="n">
        <x:f>'持仓录入'!H24</x:f>
        <x:v>43831.1</x:v>
      </x:c>
      <x:c r="K47" s="49"/>
      <x:c r="L47" s="90" t="n">
        <x:f>'持仓录入'!I24</x:f>
        <x:v>0.03406502465296165</x:v>
      </x:c>
      <x:c r="M47" s="49"/>
      <x:c r="N47" s="49"/>
      <x:c r="O47" s="49"/>
      <x:c r="P47" s="49"/>
      <x:c r="Q47" s="49"/>
      <x:c r="R47" s="49"/>
    </x:row>
    <x:row r="48" ht="25" customHeight="1">
      <x:c r="A48" s="25" t="str">
        <x:f>'持仓录入'!A25</x:f>
        <x:v>BRRR</x:v>
      </x:c>
      <x:c r="B48" s="25" t="str">
        <x:f>'持仓录入'!B25</x:f>
        <x:v>Valkyrie</x:v>
      </x:c>
      <x:c r="C48" s="25"/>
      <x:c r="D48" s="25"/>
      <x:c r="E48" s="91" t="n">
        <x:f>'持仓录入'!C25</x:f>
        <x:v>0</x:v>
      </x:c>
      <x:c r="F48" s="25"/>
      <x:c r="G48" s="25"/>
      <x:c r="H48" s="25"/>
      <x:c r="I48" s="25"/>
      <x:c r="J48" s="25"/>
      <x:c r="K48" s="25"/>
      <x:c r="L48" s="25"/>
      <x:c r="M48" s="49" t="str">
        <x:v>增持合计</x:v>
      </x:c>
      <x:c r="N48" s="49"/>
      <x:c r="O48" s="49"/>
      <x:c r="P48" s="65" t="n">
        <x:f>SUMIF('持仓录入'!C18:C30,"&gt;0")</x:f>
        <x:v>2111.98</x:v>
      </x:c>
      <x:c r="Q48" s="49"/>
      <x:c r="R48" s="49"/>
    </x:row>
    <x:row r="49" ht="25" customHeight="1">
      <x:c r="A49" s="49" t="str">
        <x:f>'持仓录入'!A26</x:f>
        <x:v>BTCO</x:v>
      </x:c>
      <x:c r="B49" s="49" t="str">
        <x:f>'持仓录入'!B26</x:f>
        <x:v>景顺银河</x:v>
      </x:c>
      <x:c r="C49" s="49"/>
      <x:c r="D49" s="49"/>
      <x:c r="E49" s="65" t="n">
        <x:f>'持仓录入'!C26</x:f>
        <x:v>0</x:v>
      </x:c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65"/>
      <x:c r="Q49" s="49"/>
      <x:c r="R49" s="49"/>
    </x:row>
    <x:row r="50" ht="25" customHeight="1">
      <x:c r="A50" s="25" t="str">
        <x:f>'持仓录入'!A27</x:f>
        <x:v>EZBC</x:v>
      </x:c>
      <x:c r="B50" s="25" t="str">
        <x:f>'持仓录入'!B27</x:f>
        <x:v>富兰克林</x:v>
      </x:c>
      <x:c r="C50" s="25"/>
      <x:c r="D50" s="25"/>
      <x:c r="E50" s="91" t="n">
        <x:f>'持仓录入'!C27</x:f>
        <x:v>0</x:v>
      </x:c>
      <x:c r="F50" s="25"/>
      <x:c r="G50" s="25"/>
      <x:c r="H50" s="25"/>
      <x:c r="I50" s="25"/>
      <x:c r="J50" s="25"/>
      <x:c r="K50" s="25"/>
      <x:c r="L50" s="25"/>
      <x:c r="M50" s="49" t="str">
        <x:v>减持合计</x:v>
      </x:c>
      <x:c r="N50" s="49"/>
      <x:c r="O50" s="49"/>
      <x:c r="P50" s="65" t="n">
        <x:f>SUMIF('持仓录入'!C18:C30,"&lt;0")</x:f>
        <x:v>-5.18</x:v>
      </x:c>
      <x:c r="Q50" s="49"/>
      <x:c r="R50" s="49"/>
    </x:row>
    <x:row r="51" ht="25" customHeight="1">
      <x:c r="A51" s="49" t="str">
        <x:f>'持仓录入'!A28</x:f>
        <x:v>DEFI</x:v>
      </x:c>
      <x:c r="B51" s="49" t="str">
        <x:f>'持仓录入'!B28</x:f>
        <x:v>Hashdex</x:v>
      </x:c>
      <x:c r="C51" s="49"/>
      <x:c r="D51" s="49"/>
      <x:c r="E51" s="65" t="n">
        <x:f>'持仓录入'!C28</x:f>
        <x:v>0</x:v>
      </x:c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</x:row>
    <x:row r="52" ht="25" customHeight="1">
      <x:c r="A52" s="25" t="str">
        <x:f>'持仓录入'!A29</x:f>
        <x:v>MSBT</x:v>
      </x:c>
      <x:c r="B52" s="25" t="str">
        <x:f>'持仓录入'!B29</x:f>
        <x:v>摩根士丹利</x:v>
      </x:c>
      <x:c r="C52" s="25"/>
      <x:c r="D52" s="25"/>
      <x:c r="E52" s="91" t="n">
        <x:f>'持仓录入'!C29</x:f>
        <x:v>80.22</x:v>
      </x:c>
      <x:c r="F52" s="25"/>
      <x:c r="G52" s="25"/>
      <x:c r="H52" s="25"/>
      <x:c r="I52" s="25"/>
      <x:c r="J52" s="25"/>
      <x:c r="K52" s="25"/>
      <x:c r="L52" s="25"/>
      <x:c r="M52" s="49"/>
      <x:c r="N52" s="49"/>
      <x:c r="O52" s="49"/>
      <x:c r="P52" s="49"/>
      <x:c r="Q52" s="49"/>
      <x:c r="R52" s="49"/>
    </x:row>
    <x:row r="53" ht="25" customHeight="1">
      <x:c r="A53" s="49" t="str">
        <x:f>'持仓录入'!A30</x:f>
        <x:v>BTCW</x:v>
      </x:c>
      <x:c r="B53" s="49" t="str">
        <x:f>'持仓录入'!B30</x:f>
        <x:v>WisdomTree</x:v>
      </x:c>
      <x:c r="C53" s="49"/>
      <x:c r="D53" s="49"/>
      <x:c r="E53" s="65" t="n">
        <x:f>'持仓录入'!C30</x:f>
        <x:v>0</x:v>
      </x:c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</x:row>
    <x:row r="54" ht="25" customHeight="1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 t="str">
        <x:v>已披露 ETF 资金流（美元）</x:v>
      </x:c>
      <x:c r="N54" s="49"/>
      <x:c r="O54" s="49"/>
      <x:c r="P54" s="49"/>
      <x:c r="Q54" s="49"/>
      <x:c r="R54" s="49"/>
    </x:row>
    <x:row r="55" ht="25" customHeight="1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</x:row>
    <x:row r="56" ht="25" customHeight="1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95" t="n">
        <x:f>'行情与资金流'!E4</x:f>
        <x:v>175.7</x:v>
      </x:c>
      <x:c r="N56" s="87" t="str">
        <x:v>百万美元，不能与 BTC 持仓变化相加</x:v>
      </x:c>
      <x:c r="O56" s="87"/>
      <x:c r="P56" s="87"/>
      <x:c r="Q56" s="87"/>
      <x:c r="R56" s="87"/>
    </x:row>
    <x:row r="57" ht="25" customHeight="1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</x:row>
    <x:row r="58" ht="25" customHeight="1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</x:row>
    <x:row r="59" ht="25" customHeight="1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</x:row>
    <x:row r="60" ht="25" customHeight="1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</x:row>
    <x:row r="61" ht="25" customHeight="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</x:row>
    <x:row r="62" ht="25" customHeight="1">
      <x:c r="A62" s="96" t="str">
        <x:v>持仓参考日期 2026-10-13｜行情页面观察时间 2026-10-14T23:12:59+08:00｜ETF 美元资金流美东 2026-10-13</x:v>
      </x:c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</x:row>
    <x:row r="63" ht="25" customHeight="1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</x:row>
    <x:row r="64" ht="25" customHeight="1">
      <x:c r="A64" s="96" t="str">
        <x:v>来源：持仓为用户截图（待独立核验）；行情为 CoinGecko；ETF 美元流入为 Farside。明细及链接见右侧数据页。</x:v>
      </x:c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</x:row>
    <x:row r="65" ht="25" customHeight="1">
      <x:c r="A65" s="96" t="str">
        <x:v>口径：空白或待核实=未取得完整来源；实际零变化才显示 0。美元资金流不等于原生币持仓变化。</x:v>
      </x:c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</x:row>
    <x:row r="66" ht="25" customHeight="1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</x:row>
    <x:row r="67" ht="25" customHeight="1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</x:row>
    <x:row r="68" ht="25" customHeight="1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</x:row>
  </x:sheetData>
  <x:mergeCells>
    <x:mergeCell ref="A2:R2"/>
    <x:mergeCell ref="A3:R5"/>
    <x:mergeCell ref="A6:R6"/>
    <x:mergeCell ref="A8:R8"/>
    <x:mergeCell ref="A10:C11"/>
    <x:mergeCell ref="A12:C14"/>
    <x:mergeCell ref="A15:C15"/>
    <x:mergeCell ref="D10:F11"/>
    <x:mergeCell ref="D12:F14"/>
    <x:mergeCell ref="D15:F15"/>
    <x:mergeCell ref="G10:I11"/>
    <x:mergeCell ref="G12:I14"/>
    <x:mergeCell ref="G15:I15"/>
    <x:mergeCell ref="J10:L11"/>
    <x:mergeCell ref="J12:L14"/>
    <x:mergeCell ref="J15:L15"/>
    <x:mergeCell ref="M10:O11"/>
    <x:mergeCell ref="M12:O14"/>
    <x:mergeCell ref="M15:O15"/>
    <x:mergeCell ref="P10:R11"/>
    <x:mergeCell ref="P12:R14"/>
    <x:mergeCell ref="P15:R15"/>
    <x:mergeCell ref="M23:P23"/>
    <x:mergeCell ref="Q23:R23"/>
    <x:mergeCell ref="M25:P25"/>
    <x:mergeCell ref="Q25:R25"/>
    <x:mergeCell ref="M27:P27"/>
    <x:mergeCell ref="Q27:R27"/>
    <x:mergeCell ref="M31:P31"/>
    <x:mergeCell ref="Q31:R31"/>
    <x:mergeCell ref="M34:R35"/>
    <x:mergeCell ref="M41:O41"/>
    <x:mergeCell ref="M43:O43"/>
    <x:mergeCell ref="M45:O45"/>
    <x:mergeCell ref="M48:O48"/>
    <x:mergeCell ref="M50:O50"/>
    <x:mergeCell ref="M54:R54"/>
    <x:mergeCell ref="N56:R56"/>
    <x:mergeCell ref="A62:R62"/>
    <x:mergeCell ref="A64:R64"/>
    <x:mergeCell ref="A65:R65"/>
  </x:mergeCells>
  <x:pageMargins left="0.7" right="0.7" top="0.75" bottom="0.75" header="0.3" footer="0.3"/>
  <x:drawing xmlns:r="http://schemas.openxmlformats.org/officeDocument/2006/relationships" r:id="R1cf77b38187642a8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18" hidden="0" customWidth="1"/>
    <x:col min="9" max="9" width="14" hidden="0" customWidth="1"/>
    <x:col min="10" max="10" width="16" hidden="0" customWidth="1"/>
  </x:cols>
  <x:sheetData>
    <x:row r="1" ht="24" customHeight="1">
      <x:c r="A1" s="3" t="str">
        <x:v>BTC ETF 持仓录入｜原始口径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1" t="str">
        <x:v>持仓日期</x:v>
      </x:c>
      <x:c r="B2" s="1" t="str">
        <x:v>2026-10-13</x:v>
      </x:c>
      <x:c r="C2" s="1"/>
      <x:c r="D2" s="1"/>
      <x:c r="E2" s="1"/>
      <x:c r="F2" s="1" t="str">
        <x:v>上7交易日变化</x:v>
      </x:c>
      <x:c r="G2" s="5" t="n">
        <x:v>6610.7</x:v>
      </x:c>
      <x:c r="H2" s="1"/>
      <x:c r="I2" s="1"/>
      <x:c r="J2" s="1"/>
    </x:row>
    <x:row r="3" ht="24" customHeight="1">
      <x:c r="A3" s="1" t="str">
        <x:v>数据状态</x:v>
      </x:c>
      <x:c r="B3" s="1" t="str">
        <x:v>用户提供的 BTC ETF 报表截图；未独立核验</x:v>
      </x:c>
      <x:c r="C3" s="1"/>
      <x:c r="D3" s="1"/>
      <x:c r="E3" s="1"/>
      <x:c r="F3" s="1" t="str">
        <x:v>本月以来</x:v>
      </x:c>
      <x:c r="G3" s="5" t="n">
        <x:v>-3708.61</x:v>
      </x:c>
      <x:c r="H3" s="1"/>
      <x:c r="I3" s="1"/>
      <x:c r="J3" s="1"/>
    </x:row>
    <x:row r="4" ht="24" customHeight="1">
      <x:c r="A4" s="1" t="str">
        <x:v>来源文件</x:v>
      </x:c>
      <x:c r="B4" s="1" t="str">
        <x:v>/Users/jss/Desktop/workspace/XCreator/crypto-charting-data/references/BTC-user-dashboard-2026-10-13.png</x:v>
      </x:c>
      <x:c r="C4" s="1"/>
      <x:c r="D4" s="1"/>
      <x:c r="E4" s="1"/>
      <x:c r="F4" s="1" t="str">
        <x:v>今年以来</x:v>
      </x:c>
      <x:c r="G4" s="5" t="n">
        <x:v>-11277.71</x:v>
      </x:c>
      <x:c r="H4" s="1"/>
      <x:c r="I4" s="1"/>
      <x:c r="J4" s="1"/>
    </x:row>
    <x:row r="5" ht="24" customHeight="1">
      <x:c r="A5" s="1" t="str">
        <x:v>总持仓 (BTC)</x:v>
      </x:c>
      <x:c r="B5" s="4" t="n">
        <x:v>1286689.22</x:v>
      </x:c>
      <x:c r="C5" s="4"/>
      <x:c r="D5" s="4"/>
      <x:c r="E5" s="4"/>
      <x:c r="F5" s="4" t="str">
        <x:v>上市以来</x:v>
      </x:c>
      <x:c r="G5" s="5" t="n">
        <x:v>664338.55</x:v>
      </x:c>
      <x:c r="H5" s="1"/>
      <x:c r="I5" s="1"/>
      <x:c r="J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7" t="str">
        <x:v>交易日</x:v>
      </x:c>
      <x:c r="B7" s="7" t="str">
        <x:v>总持仓 BTC</x:v>
      </x:c>
      <x:c r="C7" s="7" t="str">
        <x:v>日变化 BTC</x:v>
      </x:c>
      <x:c r="D7" s="7" t="str">
        <x:v>由持仓差计算</x:v>
      </x:c>
      <x:c r="E7" s="7" t="str">
        <x:v>差额 BTC</x:v>
      </x:c>
      <x:c r="F7" s="1"/>
      <x:c r="G7" s="1"/>
      <x:c r="H7" s="1"/>
      <x:c r="I7" s="1"/>
      <x:c r="J7" s="1"/>
    </x:row>
    <x:row r="8" ht="24" customHeight="1">
      <x:c r="A8" s="1" t="str">
        <x:v>10-05</x:v>
      </x:c>
      <x:c r="B8" s="4" t="n">
        <x:v>1292751.39</x:v>
      </x:c>
      <x:c r="C8" s="4" t="n">
        <x:v>-1064.98</x:v>
      </x:c>
      <x:c r="D8" s="4"/>
      <x:c r="E8" s="4"/>
      <x:c r="F8" s="1"/>
      <x:c r="G8" s="1"/>
      <x:c r="H8" s="1"/>
      <x:c r="I8" s="1"/>
      <x:c r="J8" s="1"/>
    </x:row>
    <x:row r="9" ht="24" customHeight="1">
      <x:c r="A9" s="8" t="str">
        <x:v>10-06</x:v>
      </x:c>
      <x:c r="B9" s="9" t="n">
        <x:v>1294112.14</x:v>
      </x:c>
      <x:c r="C9" s="9" t="n">
        <x:v>1361.15</x:v>
      </x:c>
      <x:c r="D9" s="9" t="n">
        <x:f>B9-B8</x:f>
        <x:v>1360.75</x:v>
      </x:c>
      <x:c r="E9" s="9" t="n">
        <x:f>D9-C9</x:f>
        <x:v>-0.40000000000009095</x:v>
      </x:c>
      <x:c r="F9" s="1"/>
      <x:c r="G9" s="1"/>
      <x:c r="H9" s="1"/>
      <x:c r="I9" s="1"/>
      <x:c r="J9" s="1"/>
    </x:row>
    <x:row r="10" ht="24" customHeight="1">
      <x:c r="A10" s="1" t="str">
        <x:v>10-07</x:v>
      </x:c>
      <x:c r="B10" s="4" t="n">
        <x:v>1288650.29</x:v>
      </x:c>
      <x:c r="C10" s="4" t="n">
        <x:v>-5461.75</x:v>
      </x:c>
      <x:c r="D10" s="4" t="n">
        <x:f>B10-B9</x:f>
        <x:v>-5461.84999999986</x:v>
      </x:c>
      <x:c r="E10" s="4" t="n">
        <x:f>D10-C10</x:f>
        <x:v>-0.09999999986030161</x:v>
      </x:c>
      <x:c r="F10" s="1"/>
      <x:c r="G10" s="1"/>
      <x:c r="H10" s="1"/>
      <x:c r="I10" s="1"/>
      <x:c r="J10" s="1"/>
    </x:row>
    <x:row r="11" ht="24" customHeight="1">
      <x:c r="A11" s="8" t="str">
        <x:v>10-08</x:v>
      </x:c>
      <x:c r="B11" s="9" t="n">
        <x:v>1285241.38</x:v>
      </x:c>
      <x:c r="C11" s="9" t="n">
        <x:v>-3408.6</x:v>
      </x:c>
      <x:c r="D11" s="9" t="n">
        <x:f>B11-B10</x:f>
        <x:v>-3408.910000000149</x:v>
      </x:c>
      <x:c r="E11" s="9" t="n">
        <x:f>D11-C11</x:f>
        <x:v>-0.31000000014910256</x:v>
      </x:c>
      <x:c r="F11" s="1"/>
      <x:c r="G11" s="1"/>
      <x:c r="H11" s="1"/>
      <x:c r="I11" s="1"/>
      <x:c r="J11" s="1"/>
    </x:row>
    <x:row r="12" ht="24" customHeight="1">
      <x:c r="A12" s="1" t="str">
        <x:v>10-09</x:v>
      </x:c>
      <x:c r="B12" s="4" t="n">
        <x:v>1285363.65</x:v>
      </x:c>
      <x:c r="C12" s="4" t="n">
        <x:v>122.73</x:v>
      </x:c>
      <x:c r="D12" s="4" t="n">
        <x:f>B12-B11</x:f>
        <x:v>122.27000000001863</x:v>
      </x:c>
      <x:c r="E12" s="4" t="n">
        <x:f>D12-C12</x:f>
        <x:v>-0.4599999999813775</x:v>
      </x:c>
      <x:c r="F12" s="1"/>
      <x:c r="G12" s="1"/>
      <x:c r="H12" s="1"/>
      <x:c r="I12" s="1"/>
      <x:c r="J12" s="1"/>
    </x:row>
    <x:row r="13" ht="24" customHeight="1">
      <x:c r="A13" s="8" t="str">
        <x:v>10-12</x:v>
      </x:c>
      <x:c r="B13" s="9" t="n">
        <x:v>1284582.81</x:v>
      </x:c>
      <x:c r="C13" s="9" t="n">
        <x:v>-780.75</x:v>
      </x:c>
      <x:c r="D13" s="9" t="n">
        <x:f>B13-B12</x:f>
        <x:v>-780.839999999851</x:v>
      </x:c>
      <x:c r="E13" s="9" t="n">
        <x:f>D13-C13</x:f>
        <x:v>-0.08999999985098839</x:v>
      </x:c>
      <x:c r="F13" s="1"/>
      <x:c r="G13" s="1"/>
      <x:c r="H13" s="1"/>
      <x:c r="I13" s="1"/>
      <x:c r="J13" s="1"/>
    </x:row>
    <x:row r="14" ht="24" customHeight="1">
      <x:c r="A14" s="1" t="str">
        <x:v>10-13</x:v>
      </x:c>
      <x:c r="B14" s="4" t="n">
        <x:v>1286689.22</x:v>
      </x:c>
      <x:c r="C14" s="4" t="n">
        <x:v>2106.8</x:v>
      </x:c>
      <x:c r="D14" s="4" t="n">
        <x:f>B14-B13</x:f>
        <x:v>2106.409999999916</x:v>
      </x:c>
      <x:c r="E14" s="4" t="n">
        <x:f>D14-C14</x:f>
        <x:v>-0.39000000008400093</x:v>
      </x:c>
      <x:c r="F14" s="1"/>
      <x:c r="G14" s="1"/>
      <x:c r="H14" s="1"/>
      <x:c r="I14" s="1"/>
      <x:c r="J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7" t="str">
        <x:v>产品</x:v>
      </x:c>
      <x:c r="B17" s="7" t="str">
        <x:v>发行商</x:v>
      </x:c>
      <x:c r="C17" s="7" t="str">
        <x:v>当日变化 BTC</x:v>
      </x:c>
      <x:c r="D17" s="1"/>
      <x:c r="E17" s="1"/>
      <x:c r="F17" s="7" t="str">
        <x:v>产品</x:v>
      </x:c>
      <x:c r="G17" s="7" t="str">
        <x:v>发行商</x:v>
      </x:c>
      <x:c r="H17" s="7" t="str">
        <x:v>持仓 BTC</x:v>
      </x:c>
      <x:c r="I17" s="7" t="str">
        <x:v>占比</x:v>
      </x:c>
      <x:c r="J17" s="1"/>
    </x:row>
    <x:row r="18" ht="24" customHeight="1">
      <x:c r="A18" s="1" t="str">
        <x:v>GBTC</x:v>
      </x:c>
      <x:c r="B18" s="1" t="str">
        <x:v>灰度</x:v>
      </x:c>
      <x:c r="C18" s="5" t="n">
        <x:v>-5.18</x:v>
      </x:c>
      <x:c r="D18" s="1"/>
      <x:c r="E18" s="1"/>
      <x:c r="F18" s="1" t="str">
        <x:v>IBIT</x:v>
      </x:c>
      <x:c r="G18" s="1" t="str">
        <x:v>贝莱德</x:v>
      </x:c>
      <x:c r="H18" s="4" t="n">
        <x:v>805025.33</x:v>
      </x:c>
      <x:c r="I18" s="11" t="n">
        <x:f>IFERROR(H18/$B$5,"")</x:f>
        <x:v>0.6256563881059017</x:v>
      </x:c>
      <x:c r="J18" s="1"/>
    </x:row>
    <x:row r="19" ht="24" customHeight="1">
      <x:c r="A19" s="8" t="str">
        <x:v>BTC</x:v>
      </x:c>
      <x:c r="B19" s="8" t="str">
        <x:v>灰度迷你</x:v>
      </x:c>
      <x:c r="C19" s="10" t="n">
        <x:v>0</x:v>
      </x:c>
      <x:c r="D19" s="1"/>
      <x:c r="E19" s="1"/>
      <x:c r="F19" s="8" t="str">
        <x:v>FBTC</x:v>
      </x:c>
      <x:c r="G19" s="8" t="str">
        <x:v>富达</x:v>
      </x:c>
      <x:c r="H19" s="9" t="n">
        <x:v>179411.91</x:v>
      </x:c>
      <x:c r="I19" s="12" t="n">
        <x:f>IFERROR(H19/$B$5,"")</x:f>
        <x:v>0.13943686417144305</x:v>
      </x:c>
      <x:c r="J19" s="1"/>
    </x:row>
    <x:row r="20" ht="24" customHeight="1">
      <x:c r="A20" s="1" t="str">
        <x:v>IBIT</x:v>
      </x:c>
      <x:c r="B20" s="1" t="str">
        <x:v>贝莱德</x:v>
      </x:c>
      <x:c r="C20" s="5" t="n">
        <x:v>792.46</x:v>
      </x:c>
      <x:c r="D20" s="1"/>
      <x:c r="E20" s="1"/>
      <x:c r="F20" s="1" t="str">
        <x:v>GBTC</x:v>
      </x:c>
      <x:c r="G20" s="1" t="str">
        <x:v>灰度</x:v>
      </x:c>
      <x:c r="H20" s="4" t="n">
        <x:v>125977.97</x:v>
      </x:c>
      <x:c r="I20" s="11" t="n">
        <x:f>IFERROR(H20/$B$5,"")</x:f>
        <x:v>0.09790862318719046</x:v>
      </x:c>
      <x:c r="J20" s="1"/>
    </x:row>
    <x:row r="21" ht="24" customHeight="1">
      <x:c r="A21" s="8" t="str">
        <x:v>FBTC</x:v>
      </x:c>
      <x:c r="B21" s="8" t="str">
        <x:v>富达</x:v>
      </x:c>
      <x:c r="C21" s="10" t="n">
        <x:v>1239.3</x:v>
      </x:c>
      <x:c r="D21" s="1"/>
      <x:c r="E21" s="1"/>
      <x:c r="F21" s="8" t="str">
        <x:v>BTC</x:v>
      </x:c>
      <x:c r="G21" s="8" t="str">
        <x:v>灰度迷你</x:v>
      </x:c>
      <x:c r="H21" s="9" t="n">
        <x:v>63128.17</x:v>
      </x:c>
      <x:c r="I21" s="12" t="n">
        <x:f>IFERROR(H21/$B$5,"")</x:f>
        <x:v>0.04906248456795185</x:v>
      </x:c>
      <x:c r="J21" s="1"/>
    </x:row>
    <x:row r="22" ht="24" customHeight="1">
      <x:c r="A22" s="1" t="str">
        <x:v>ARKB</x:v>
      </x:c>
      <x:c r="B22" s="1" t="str">
        <x:v>ARK 21Shares</x:v>
      </x:c>
      <x:c r="C22" s="5" t="n">
        <x:v>0</x:v>
      </x:c>
      <x:c r="D22" s="1"/>
      <x:c r="E22" s="1"/>
      <x:c r="F22" s="1" t="str">
        <x:v>BITB</x:v>
      </x:c>
      <x:c r="G22" s="1" t="str">
        <x:v>Bitwise</x:v>
      </x:c>
      <x:c r="H22" s="4" t="n">
        <x:v>37290.75</x:v>
      </x:c>
      <x:c r="I22" s="11" t="n">
        <x:f>IFERROR(H22/$B$5,"")</x:f>
        <x:v>0.028981940176665194</x:v>
      </x:c>
      <x:c r="J22" s="1"/>
    </x:row>
    <x:row r="23" ht="24" customHeight="1">
      <x:c r="A23" s="8" t="str">
        <x:v>BITB</x:v>
      </x:c>
      <x:c r="B23" s="8" t="str">
        <x:v>Bitwise</x:v>
      </x:c>
      <x:c r="C23" s="10" t="n">
        <x:v>0</x:v>
      </x:c>
      <x:c r="D23" s="1"/>
      <x:c r="E23" s="1"/>
      <x:c r="F23" s="8" t="str">
        <x:v>ARKB</x:v>
      </x:c>
      <x:c r="G23" s="8" t="str">
        <x:v>ARK 21Shares</x:v>
      </x:c>
      <x:c r="H23" s="9" t="n">
        <x:v>32024</x:v>
      </x:c>
      <x:c r="I23" s="12" t="n">
        <x:f>IFERROR(H23/$B$5,"")</x:f>
        <x:v>0.02488868290977055</x:v>
      </x:c>
      <x:c r="J23" s="1"/>
    </x:row>
    <x:row r="24" ht="24" customHeight="1">
      <x:c r="A24" s="1" t="str">
        <x:v>HODL</x:v>
      </x:c>
      <x:c r="B24" s="1" t="str">
        <x:v>VanEck</x:v>
      </x:c>
      <x:c r="C24" s="5" t="n">
        <x:v>0</x:v>
      </x:c>
      <x:c r="D24" s="1"/>
      <x:c r="E24" s="1"/>
      <x:c r="F24" s="1" t="str">
        <x:v>OTHER</x:v>
      </x:c>
      <x:c r="G24" s="1" t="str">
        <x:v>其他</x:v>
      </x:c>
      <x:c r="H24" s="4" t="n">
        <x:v>43831.1</x:v>
      </x:c>
      <x:c r="I24" s="11" t="n">
        <x:f>IFERROR(H24/$B$5,"")</x:f>
        <x:v>0.03406502465296165</x:v>
      </x:c>
      <x:c r="J24" s="1"/>
    </x:row>
    <x:row r="25" ht="24" customHeight="1">
      <x:c r="A25" s="8" t="str">
        <x:v>BRRR</x:v>
      </x:c>
      <x:c r="B25" s="8" t="str">
        <x:v>Valkyrie</x:v>
      </x:c>
      <x:c r="C25" s="10" t="n">
        <x:v>0</x:v>
      </x:c>
      <x:c r="D25" s="1"/>
      <x:c r="E25" s="1"/>
      <x:c r="F25" s="1"/>
      <x:c r="G25" s="1"/>
      <x:c r="H25" s="1"/>
      <x:c r="I25" s="1"/>
      <x:c r="J25" s="1"/>
    </x:row>
    <x:row r="26" ht="24" customHeight="1">
      <x:c r="A26" s="1" t="str">
        <x:v>BTCO</x:v>
      </x:c>
      <x:c r="B26" s="1" t="str">
        <x:v>景顺银河</x:v>
      </x:c>
      <x:c r="C26" s="5" t="n">
        <x:v>0</x:v>
      </x:c>
      <x:c r="D26" s="1"/>
      <x:c r="E26" s="1"/>
      <x:c r="F26" s="1"/>
      <x:c r="G26" s="1"/>
      <x:c r="H26" s="1"/>
      <x:c r="I26" s="1"/>
      <x:c r="J26" s="1"/>
    </x:row>
    <x:row r="27" ht="24" customHeight="1">
      <x:c r="A27" s="8" t="str">
        <x:v>EZBC</x:v>
      </x:c>
      <x:c r="B27" s="8" t="str">
        <x:v>富兰克林</x:v>
      </x:c>
      <x:c r="C27" s="10" t="n">
        <x:v>0</x:v>
      </x:c>
      <x:c r="D27" s="1"/>
      <x:c r="E27" s="1"/>
      <x:c r="F27" s="1" t="str">
        <x:v>核对：产品持仓合计</x:v>
      </x:c>
      <x:c r="G27" s="1"/>
      <x:c r="H27" s="4" t="n">
        <x:f>SUM(H18:H24)</x:f>
        <x:v>1286689.23</x:v>
      </x:c>
      <x:c r="I27" s="1"/>
      <x:c r="J27" s="1"/>
    </x:row>
    <x:row r="28" ht="24" customHeight="1">
      <x:c r="A28" s="1" t="str">
        <x:v>DEFI</x:v>
      </x:c>
      <x:c r="B28" s="1" t="str">
        <x:v>Hashdex</x:v>
      </x:c>
      <x:c r="C28" s="5" t="n">
        <x:v>0</x:v>
      </x:c>
      <x:c r="D28" s="1"/>
      <x:c r="E28" s="1"/>
      <x:c r="F28" s="1" t="str">
        <x:v>与报表总持仓差</x:v>
      </x:c>
      <x:c r="G28" s="1"/>
      <x:c r="H28" s="4" t="n">
        <x:f>H27-B5</x:f>
        <x:v>0.010000000009313226</x:v>
      </x:c>
      <x:c r="I28" s="1"/>
      <x:c r="J28" s="1"/>
    </x:row>
    <x:row r="29" ht="24" customHeight="1">
      <x:c r="A29" s="8" t="str">
        <x:v>MSBT</x:v>
      </x:c>
      <x:c r="B29" s="8" t="str">
        <x:v>摩根士丹利</x:v>
      </x:c>
      <x:c r="C29" s="10" t="n">
        <x:v>80.22</x:v>
      </x:c>
      <x:c r="D29" s="1"/>
      <x:c r="E29" s="1"/>
      <x:c r="F29" s="1" t="str">
        <x:v>产品变化合计</x:v>
      </x:c>
      <x:c r="G29" s="1"/>
      <x:c r="H29" s="4" t="n">
        <x:f>SUM(C18:C30)</x:f>
        <x:v>2106.7999999999997</x:v>
      </x:c>
      <x:c r="I29" s="1"/>
      <x:c r="J29" s="1"/>
    </x:row>
    <x:row r="30" ht="24" customHeight="1">
      <x:c r="A30" s="1" t="str">
        <x:v>BTCW</x:v>
      </x:c>
      <x:c r="B30" s="1" t="str">
        <x:v>WisdomTree</x:v>
      </x:c>
      <x:c r="C30" s="5" t="n">
        <x:v>0</x:v>
      </x:c>
      <x:c r="D30" s="1"/>
      <x:c r="E30" s="1"/>
      <x:c r="F30" s="1" t="str">
        <x:v>与日报变化差</x:v>
      </x:c>
      <x:c r="G30" s="1"/>
      <x:c r="H30" s="4" t="n">
        <x:f>H29-C14</x:f>
        <x:v>-4.547473508864641e-13</x:v>
      </x:c>
      <x:c r="I30" s="1"/>
      <x:c r="J30" s="1"/>
    </x:row>
    <x:row r="31" ht="24" customHeight="1">
      <x:c r="A31" s="1"/>
      <x:c r="B31" s="1"/>
      <x:c r="C31" s="1"/>
      <x:c r="D31" s="1"/>
      <x:c r="E31" s="1"/>
      <x:c r="F31" s="1" t="str">
        <x:v>7日变化合计</x:v>
      </x:c>
      <x:c r="G31" s="1"/>
      <x:c r="H31" s="4" t="n">
        <x:f>SUM(C8:C14)</x:f>
        <x:v>-7125.400000000001</x:v>
      </x:c>
      <x:c r="I31" s="1"/>
      <x:c r="J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4" customHeight="1">
      <x:c r="A33" s="14" t="str">
        <x:v>注意：截图持仓属于用户提供的参考数据；差额反映截图逐项四舍五入或录入差异，不据此补造缺失产品。</x:v>
      </x:c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1"/>
    <x:mergeCell ref="A33:J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</x:cols>
  <x:sheetData>
    <x:row r="1" ht="24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采集时间</x:v>
      </x:c>
      <x:c r="B3" s="1" t="str">
        <x:v>2026-10-14 23:12:59 北京时间</x:v>
      </x:c>
      <x:c r="C3" s="1"/>
      <x:c r="D3" s="1" t="str">
        <x:v>最新已披露交易日</x:v>
      </x:c>
      <x:c r="E3" s="1" t="str">
        <x:v>2026-10-13</x:v>
      </x:c>
      <x:c r="F3" s="1"/>
      <x:c r="G3" s="1"/>
      <x:c r="H3" s="1"/>
      <x:c r="I3" s="1"/>
      <x:c r="J3" s="1"/>
    </x:row>
    <x:row r="4" ht="24" customHeight="1">
      <x:c r="A4" s="1" t="str">
        <x:v>价格 USD</x:v>
      </x:c>
      <x:c r="B4" s="15" t="n">
        <x:v>81681.92</x:v>
      </x:c>
      <x:c r="C4" s="1"/>
      <x:c r="D4" s="1" t="str">
        <x:v>净资金流 (百万美元)</x:v>
      </x:c>
      <x:c r="E4" s="5" t="n">
        <x:v>175.7</x:v>
      </x:c>
      <x:c r="F4" s="1"/>
      <x:c r="G4" s="1"/>
      <x:c r="H4" s="1"/>
      <x:c r="I4" s="1"/>
      <x:c r="J4" s="1"/>
    </x:row>
    <x:row r="5" ht="24" customHeight="1">
      <x:c r="A5" s="1" t="str">
        <x:v>24h 变化</x:v>
      </x:c>
      <x:c r="B5" s="16" t="n">
        <x:v>-0.022000000000000002</x:v>
      </x:c>
      <x:c r="C5" s="1"/>
      <x:c r="D5" s="1" t="str">
        <x:v>持币总量状态</x:v>
      </x:c>
      <x:c r="E5" s="1" t="str">
        <x:v>截图样本／未独立核验</x:v>
      </x:c>
      <x:c r="F5" s="1"/>
      <x:c r="G5" s="1"/>
      <x:c r="H5" s="1"/>
      <x:c r="I5" s="1"/>
      <x:c r="J5" s="1"/>
    </x:row>
    <x:row r="6" ht="24" customHeight="1">
      <x:c r="A6" s="1" t="str">
        <x:v>24h 成交额 USD</x:v>
      </x:c>
      <x:c r="B6" s="17" t="n">
        <x:v>31121466319</x:v>
      </x:c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市值 USD</x:v>
      </x:c>
      <x:c r="B7" s="17" t="n">
        <x:v>1642413056710</x:v>
      </x:c>
      <x:c r="C7" s="1"/>
      <x:c r="D7" s="1"/>
      <x:c r="E7" s="1"/>
      <x:c r="F7" s="1"/>
      <x:c r="G7" s="1"/>
      <x:c r="H7" s="1"/>
      <x:c r="I7" s="1"/>
      <x:c r="J7" s="1"/>
    </x:row>
    <x:row r="8" ht="24" customHeight="1">
      <x:c r="A8" s="1" t="str">
        <x:v>7d 变化</x:v>
      </x:c>
      <x:c r="B8" s="16" t="n">
        <x:v>-0.017</x:v>
      </x:c>
      <x:c r="C8" s="1"/>
      <x:c r="D8" s="1"/>
      <x:c r="E8" s="1"/>
      <x:c r="F8" s="1"/>
      <x:c r="G8" s="1"/>
      <x:c r="H8" s="1"/>
      <x:c r="I8" s="1"/>
      <x:c r="J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4" customHeight="1">
      <x:c r="A12" s="7" t="str">
        <x:v>ETF交易日</x:v>
      </x:c>
      <x:c r="B12" s="7" t="str">
        <x:v>资金流 百万美元</x:v>
      </x:c>
      <x:c r="C12" s="1"/>
      <x:c r="D12" s="7" t="str">
        <x:v>UTC 日期</x:v>
      </x:c>
      <x:c r="E12" s="7" t="str">
        <x:v>BTC 收盘 USD</x:v>
      </x:c>
      <x:c r="F12" s="1"/>
      <x:c r="G12" s="7" t="str">
        <x:v>来源/口径</x:v>
      </x:c>
      <x:c r="H12" s="7" t="str">
        <x:v>链接或路径</x:v>
      </x:c>
      <x:c r="I12" s="7" t="str"/>
      <x:c r="J12" s="7" t="str"/>
    </x:row>
    <x:row r="13" ht="24" customHeight="1">
      <x:c r="A13" s="1" t="str">
        <x:v>10-05</x:v>
      </x:c>
      <x:c r="B13" s="5" t="n">
        <x:v>-89.8</x:v>
      </x:c>
      <x:c r="C13" s="1"/>
      <x:c r="D13" s="1" t="str">
        <x:v>10-07</x:v>
      </x:c>
      <x:c r="E13" s="17" t="n">
        <x:v>83282</x:v>
      </x:c>
      <x:c r="F13" s="1"/>
      <x:c r="G13" s="1" t="str">
        <x:v>即时行情</x:v>
      </x:c>
      <x:c r="H13" s="1" t="str">
        <x:v>https://www.coingecko.com/en/coins/bitcoin</x:v>
      </x:c>
      <x:c r="I13" s="1"/>
      <x:c r="J13" s="1"/>
    </x:row>
    <x:row r="14" ht="24" customHeight="1">
      <x:c r="A14" s="1" t="str">
        <x:v>10-06</x:v>
      </x:c>
      <x:c r="B14" s="5" t="n">
        <x:v>118.8</x:v>
      </x:c>
      <x:c r="C14" s="1"/>
      <x:c r="D14" s="1" t="str">
        <x:v>10-08</x:v>
      </x:c>
      <x:c r="E14" s="17" t="n">
        <x:v>81686</x:v>
      </x:c>
      <x:c r="F14" s="1"/>
      <x:c r="G14" s="1" t="str">
        <x:v>价格历史</x:v>
      </x:c>
      <x:c r="H14" s="1" t="str">
        <x:v>https://www.coingecko.com/en/coins/bitcoin/historical_data</x:v>
      </x:c>
      <x:c r="I14" s="1"/>
      <x:c r="J14" s="1"/>
    </x:row>
    <x:row r="15" ht="24" customHeight="1">
      <x:c r="A15" s="1" t="str">
        <x:v>10-07</x:v>
      </x:c>
      <x:c r="B15" s="5" t="n">
        <x:v>-484.9</x:v>
      </x:c>
      <x:c r="C15" s="1"/>
      <x:c r="D15" s="1" t="str">
        <x:v>10-09</x:v>
      </x:c>
      <x:c r="E15" s="17" t="n">
        <x:v>82564</x:v>
      </x:c>
      <x:c r="F15" s="1"/>
      <x:c r="G15" s="1" t="str">
        <x:v>ETF资金流</x:v>
      </x:c>
      <x:c r="H15" s="1" t="str">
        <x:v>https://farside.co.uk/bitcoin-etf-flow-all-data/</x:v>
      </x:c>
      <x:c r="I15" s="1"/>
      <x:c r="J15" s="1"/>
    </x:row>
    <x:row r="16" ht="24" customHeight="1">
      <x:c r="A16" s="1" t="str">
        <x:v>10-08</x:v>
      </x:c>
      <x:c r="B16" s="5" t="n">
        <x:v>-244.1</x:v>
      </x:c>
      <x:c r="C16" s="1"/>
      <x:c r="D16" s="1" t="str">
        <x:v>10-10</x:v>
      </x:c>
      <x:c r="E16" s="17" t="n">
        <x:v>82918</x:v>
      </x:c>
      <x:c r="F16" s="1"/>
      <x:c r="G16" s="1" t="str">
        <x:v>持仓截图</x:v>
      </x:c>
      <x:c r="H16" s="1" t="str">
        <x:v>/Users/jss/Desktop/workspace/XCreator/crypto-charting-data/references/BTC-user-dashboard-2026-10-13.png</x:v>
      </x:c>
      <x:c r="I16" s="1"/>
      <x:c r="J16" s="1"/>
    </x:row>
    <x:row r="17" ht="24" customHeight="1">
      <x:c r="A17" s="1" t="str">
        <x:v>10-09</x:v>
      </x:c>
      <x:c r="B17" s="5" t="n">
        <x:v>21.1</x:v>
      </x:c>
      <x:c r="C17" s="1"/>
      <x:c r="D17" s="1" t="str">
        <x:v>10-11</x:v>
      </x:c>
      <x:c r="E17" s="17" t="n">
        <x:v>83691</x:v>
      </x:c>
      <x:c r="F17" s="1"/>
      <x:c r="G17" s="1" t="str">
        <x:v>行情时间口径</x:v>
      </x:c>
      <x:c r="H17" s="1" t="str">
        <x:v>采集时页面观察，源时间未给出</x:v>
      </x:c>
      <x:c r="I17" s="1"/>
      <x:c r="J17" s="1"/>
    </x:row>
    <x:row r="18" ht="24" customHeight="1">
      <x:c r="A18" s="1" t="str">
        <x:v>10-12</x:v>
      </x:c>
      <x:c r="B18" s="5" t="n">
        <x:v>-65.4</x:v>
      </x:c>
      <x:c r="C18" s="1"/>
      <x:c r="D18" s="1" t="str">
        <x:v>10-12</x:v>
      </x:c>
      <x:c r="E18" s="17" t="n">
        <x:v>81795</x:v>
      </x:c>
      <x:c r="F18" s="1"/>
      <x:c r="G18" s="1" t="str">
        <x:v>ETF时间口径</x:v>
      </x:c>
      <x:c r="H18" s="1" t="str">
        <x:v>美东交易日；未披露不是零</x:v>
      </x:c>
      <x:c r="I18" s="1"/>
      <x:c r="J18" s="1"/>
    </x:row>
    <x:row r="19" ht="24" customHeight="1">
      <x:c r="A19" s="1" t="str">
        <x:v>10-13</x:v>
      </x:c>
      <x:c r="B19" s="5" t="n">
        <x:v>175.7</x:v>
      </x:c>
      <x:c r="C19" s="1"/>
      <x:c r="D19" s="1" t="str">
        <x:v>10-13</x:v>
      </x:c>
      <x:c r="E19" s="17" t="n">
        <x:v>83115</x:v>
      </x:c>
      <x:c r="F19" s="1"/>
      <x:c r="G19" s="1"/>
      <x:c r="H19" s="1"/>
      <x:c r="I19" s="1"/>
      <x:c r="J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4" customHeight="1">
      <x:c r="A22" s="14" t="str">
        <x:v>资金净流入以美元计，不等于 ETF 原生 BTC 持仓变化；不同来源更新时间不能混用。</x:v>
      </x:c>
      <x:c r="B22" s="14"/>
      <x:c r="C22" s="14"/>
      <x:c r="D22" s="14"/>
      <x:c r="E22" s="14"/>
      <x:c r="F22" s="14"/>
      <x:c r="G22" s="14"/>
      <x:c r="H22" s="14"/>
      <x:c r="I22" s="14"/>
      <x:c r="J22" s="14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J1"/>
    <x:mergeCell ref="A22:J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7" hidden="0" customWidth="1"/>
    <x:col min="4" max="4" width="22" hidden="0" customWidth="1"/>
    <x:col min="5" max="5" width="2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5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5" customHeight="1">
      <x:c r="A2" s="1"/>
      <x:c r="B2" s="1"/>
      <x:c r="C2" s="1"/>
      <x:c r="D2" s="1"/>
      <x:c r="E2" s="1"/>
      <x:c r="F2" s="1"/>
      <x:c r="G2" s="1"/>
      <x:c r="H2" s="1"/>
    </x:row>
    <x:row r="3" ht="25" customHeight="1">
      <x:c r="A3" s="7" t="str">
        <x:v>链上指标</x:v>
      </x:c>
      <x:c r="B3" s="7" t="str">
        <x:v>数值</x:v>
      </x:c>
      <x:c r="C3" s="7" t="str">
        <x:v>单位</x:v>
      </x:c>
      <x:c r="D3" s="7" t="str">
        <x:v>数据日期</x:v>
      </x:c>
      <x:c r="E3" s="7" t="str">
        <x:v>定义 / 范围</x:v>
      </x:c>
      <x:c r="F3" s="7" t="str">
        <x:v>直接来源</x:v>
      </x:c>
      <x:c r="G3" s="1"/>
      <x:c r="H3" s="1"/>
    </x:row>
    <x:row r="4" ht="25" customHeight="1">
      <x:c r="A4" s="1" t="str">
        <x:v>暂无已核实、适合本币种的链上指标。</x:v>
      </x:c>
      <x:c r="B4" s="1"/>
      <x:c r="C4" s="1"/>
      <x:c r="D4" s="1"/>
      <x:c r="E4" s="1"/>
      <x:c r="F4" s="1"/>
      <x:c r="G4" s="1"/>
      <x:c r="H4" s="1"/>
    </x:row>
    <x:row r="5" ht="25" customHeight="1">
      <x:c r="A5" s="1"/>
      <x:c r="B5" s="1"/>
      <x:c r="C5" s="1"/>
      <x:c r="D5" s="1"/>
      <x:c r="E5" s="1"/>
      <x:c r="F5" s="1"/>
      <x:c r="G5" s="1"/>
      <x:c r="H5" s="1"/>
    </x:row>
    <x:row r="6" ht="25" customHeight="1">
      <x:c r="A6" s="1"/>
      <x:c r="B6" s="1"/>
      <x:c r="C6" s="1"/>
      <x:c r="D6" s="1"/>
      <x:c r="E6" s="1"/>
      <x:c r="F6" s="1"/>
      <x:c r="G6" s="1"/>
      <x:c r="H6" s="1"/>
    </x:row>
    <x:row r="7" ht="25" customHeight="1">
      <x:c r="A7" s="1"/>
      <x:c r="B7" s="1"/>
      <x:c r="C7" s="1"/>
      <x:c r="D7" s="1"/>
      <x:c r="E7" s="1"/>
      <x:c r="F7" s="1"/>
      <x:c r="G7" s="1"/>
      <x:c r="H7" s="1"/>
    </x:row>
    <x:row r="8" ht="25" customHeight="1">
      <x:c r="A8" s="1"/>
      <x:c r="B8" s="1"/>
      <x:c r="C8" s="1"/>
      <x:c r="D8" s="1"/>
      <x:c r="E8" s="1"/>
      <x:c r="F8" s="1"/>
      <x:c r="G8" s="1"/>
      <x:c r="H8" s="1"/>
    </x:row>
    <x:row r="9" ht="25" customHeight="1">
      <x:c r="A9" s="1"/>
      <x:c r="B9" s="1"/>
      <x:c r="C9" s="1"/>
      <x:c r="D9" s="1"/>
      <x:c r="E9" s="1"/>
      <x:c r="F9" s="1"/>
      <x:c r="G9" s="1"/>
      <x:c r="H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</x:row>
    <x:row r="14" ht="25" customHeight="1">
      <x:c r="A14" s="7" t="str">
        <x:v>重要动态</x:v>
      </x:c>
      <x:c r="B14" s="7" t="str">
        <x:v>事件日期</x:v>
      </x:c>
      <x:c r="C14" s="7" t="str">
        <x:v>发布日期</x:v>
      </x:c>
      <x:c r="D14" s="7" t="str">
        <x:v>核验状态</x:v>
      </x:c>
      <x:c r="E14" s="7" t="str">
        <x:v>摘要</x:v>
      </x:c>
      <x:c r="F14" s="7" t="str">
        <x:v>直接来源</x:v>
      </x:c>
      <x:c r="G14" s="1"/>
      <x:c r="H14" s="1"/>
    </x:row>
    <x:row r="15" ht="25" customHeight="1">
      <x:c r="A15" s="1" t="str">
        <x:v>Strive 披露于 10 月 12–13 日购入 2,822 BTC</x:v>
      </x:c>
      <x:c r="B15" s="1" t="str">
        <x:v>2026-10-12/2026-10-13</x:v>
      </x:c>
      <x:c r="C15" s="1" t="str">
        <x:v>2026-10-14</x:v>
      </x:c>
      <x:c r="D15" s="1" t="str">
        <x:v>已查阅来源</x:v>
      </x:c>
      <x:c r="E15" s="1" t="str">
        <x:v>平均购入价约 83,266 USD/BTC，含费用</x:v>
      </x:c>
      <x:c r="F15" s="1" t="str">
        <x:v>https://www.sec.gov/Archives/edgar/data/1920406/000162828026065816/asst-20261014.htm</x:v>
      </x:c>
      <x:c r="G15" s="1"/>
      <x:c r="H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4" t="str">
        <x:v>数据口径：链上活动是网络指标，不能等同于代币现金流；事件日期与文章发布日期分别记录。</x:v>
      </x:c>
      <x:c r="B25" s="14"/>
      <x:c r="C25" s="14"/>
      <x:c r="D25" s="14"/>
      <x:c r="E25" s="14"/>
      <x:c r="F25" s="14"/>
      <x:c r="G25" s="14"/>
      <x:c r="H25" s="14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25:H25"/>
  </x:mergeCells>
  <x:pageMargins left="0.7" right="0.7" top="0.75" bottom="0.75" header="0.3" footer="0.3"/>
</x:worksheet>
</file>