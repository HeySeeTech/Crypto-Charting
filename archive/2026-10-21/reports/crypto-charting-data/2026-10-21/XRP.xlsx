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1993676a4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e288d3e8855a48ac"/>
    <x:sheet xmlns:r="http://schemas.openxmlformats.org/officeDocument/2006/relationships" name="持仓录入" sheetId="2" r:id="Re2dffd6794b0415b"/>
    <x:sheet xmlns:r="http://schemas.openxmlformats.org/officeDocument/2006/relationships" name="行情与资金流" sheetId="3" r:id="Rcc9cf2524cbd48a2"/>
    <x:sheet xmlns:r="http://schemas.openxmlformats.org/officeDocument/2006/relationships" name="链上与动态" sheetId="4" r:id="Rfc60443ad1ba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14f6e73374288" /><Relationship Type="http://schemas.openxmlformats.org/officeDocument/2006/relationships/theme" Target="/xl/theme/theme1.xml" Id="R75ca280387df47a0" /><Relationship Type="http://schemas.openxmlformats.org/officeDocument/2006/relationships/sharedStrings" Target="/xl/sharedStrings.xml" Id="R4b6fcb079be346a4" /><Relationship Type="http://schemas.openxmlformats.org/officeDocument/2006/relationships/worksheet" Target="/xl/worksheets/sheet1.xml" Id="Re288d3e8855a48ac" /><Relationship Type="http://schemas.openxmlformats.org/officeDocument/2006/relationships/worksheet" Target="/xl/worksheets/sheet2.xml" Id="Re2dffd6794b0415b" /><Relationship Type="http://schemas.openxmlformats.org/officeDocument/2006/relationships/worksheet" Target="/xl/worksheets/sheet3.xml" Id="Rcc9cf2524cbd48a2" /><Relationship Type="http://schemas.openxmlformats.org/officeDocument/2006/relationships/worksheet" Target="/xl/worksheets/sheet4.xml" Id="Rfc60443ad1ba43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09f169467649dd" /><Relationship Type="http://schemas.openxmlformats.org/officeDocument/2006/relationships/chart" Target="/xl/drawings/charts/chart2.xml" Id="R99717317447842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09f169467649d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717317447842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46e3c84dc347f5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2026.10.21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13:57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4/5；2026-10-19 同日样本 4/5；异日数不入小计。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1.33</x:v>
      </x:c>
      <x:c r="B10" s="134"/>
      <x:c r="C10" s="135"/>
      <x:c r="D10" s="181" t="n">
        <x:f>'行情与资金流'!B5</x:f>
        <x:v>0.0240645</x:v>
      </x:c>
      <x:c r="E10" s="182"/>
      <x:c r="F10" s="183"/>
      <x:c r="G10" s="196" t="n">
        <x:f>'行情与资金流'!B8</x:f>
        <x:v>-0.029152</x:v>
      </x:c>
      <x:c r="H10" s="197"/>
      <x:c r="I10" s="198"/>
      <x:c r="J10" s="208" t="n">
        <x:f>'行情与资金流'!B6</x:f>
        <x:v>1416566530</x:v>
      </x:c>
      <x:c r="K10" s="209"/>
      <x:c r="L10" s="210"/>
      <x:c r="M10" s="208" t="n">
        <x:f>'行情与资金流'!B7</x:f>
        <x:v>84138872782</x:v>
      </x:c>
      <x:c r="N10" s="209"/>
      <x:c r="O10" s="210"/>
      <x:c r="P10" s="220" t="str">
        <x:v>待披露</x:v>
      </x:c>
      <x:c r="Q10" s="221"/>
      <x:c r="R10" s="222"/>
    </x:row>
    <x:row r="11" ht="23" customHeight="1">
      <x:c r="A11" s="133"/>
      <x:c r="B11" s="134"/>
      <x:c r="C11" s="135"/>
      <x:c r="D11" s="181"/>
      <x:c r="E11" s="182"/>
      <x:c r="F11" s="183"/>
      <x:c r="G11" s="196"/>
      <x:c r="H11" s="197"/>
      <x:c r="I11" s="198"/>
      <x:c r="J11" s="208"/>
      <x:c r="K11" s="209"/>
      <x:c r="L11" s="210"/>
      <x:c r="M11" s="208"/>
      <x:c r="N11" s="209"/>
      <x:c r="O11" s="210"/>
      <x:c r="P11" s="220"/>
      <x:c r="Q11" s="221"/>
      <x:c r="R11" s="222"/>
    </x:row>
    <x:row r="12" ht="23" customHeight="1">
      <x:c r="A12" s="133"/>
      <x:c r="B12" s="134"/>
      <x:c r="C12" s="135"/>
      <x:c r="D12" s="181"/>
      <x:c r="E12" s="182"/>
      <x:c r="F12" s="183"/>
      <x:c r="G12" s="196"/>
      <x:c r="H12" s="197"/>
      <x:c r="I12" s="198"/>
      <x:c r="J12" s="208"/>
      <x:c r="K12" s="209"/>
      <x:c r="L12" s="210"/>
      <x:c r="M12" s="208"/>
      <x:c r="N12" s="209"/>
      <x:c r="O12" s="210"/>
      <x:c r="P12" s="220"/>
      <x:c r="Q12" s="221"/>
      <x:c r="R12" s="222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55" t="str">
        <x:v>同日样本观察日</x:v>
      </x:c>
      <x:c r="B14" s="256"/>
      <x:c r="C14" s="257"/>
      <x:c r="D14" s="175" t="str">
        <x:v>持仓可查产品</x:v>
      </x:c>
      <x:c r="E14" s="176"/>
      <x:c r="F14" s="177"/>
      <x:c r="G14" s="303" t="str">
        <x:v>已核实持仓样本</x:v>
      </x:c>
      <x:c r="H14" s="304"/>
      <x:c r="I14" s="305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58"/>
      <x:c r="B15" s="259"/>
      <x:c r="C15" s="260"/>
      <x:c r="D15" s="178"/>
      <x:c r="E15" s="179"/>
      <x:c r="F15" s="180"/>
      <x:c r="G15" s="306"/>
      <x:c r="H15" s="307"/>
      <x:c r="I15" s="308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61" t="str">
        <x:v>2026-10-19</x:v>
      </x:c>
      <x:c r="B16" s="262"/>
      <x:c r="C16" s="263"/>
      <x:c r="D16" s="220" t="str">
        <x:v>4/5</x:v>
      </x:c>
      <x:c r="E16" s="221"/>
      <x:c r="F16" s="222"/>
      <x:c r="G16" s="309" t="n">
        <x:f>'持仓录入'!B5</x:f>
        <x:v>1070277145.7699999</x:v>
      </x:c>
      <x:c r="H16" s="310"/>
      <x:c r="I16" s="311"/>
      <x:c r="J16" s="318" t="n">
        <x:v>5</x:v>
      </x:c>
      <x:c r="K16" s="319"/>
      <x:c r="L16" s="320"/>
      <x:c r="M16" s="327" t="n">
        <x:f>'行情与资金流'!B9</x:f>
        <x:v>63129671205</x:v>
      </x:c>
      <x:c r="N16" s="328"/>
      <x:c r="O16" s="329"/>
      <x:c r="P16" s="327" t="str">
        <x:v>1/5</x:v>
      </x:c>
      <x:c r="Q16" s="328"/>
      <x:c r="R16" s="329"/>
    </x:row>
    <x:row r="17" ht="23" customHeight="1">
      <x:c r="A17" s="261"/>
      <x:c r="B17" s="262"/>
      <x:c r="C17" s="263"/>
      <x:c r="D17" s="220"/>
      <x:c r="E17" s="221"/>
      <x:c r="F17" s="222"/>
      <x:c r="G17" s="309"/>
      <x:c r="H17" s="310"/>
      <x:c r="I17" s="311"/>
      <x:c r="J17" s="318"/>
      <x:c r="K17" s="319"/>
      <x:c r="L17" s="320"/>
      <x:c r="M17" s="327"/>
      <x:c r="N17" s="328"/>
      <x:c r="O17" s="329"/>
      <x:c r="P17" s="327"/>
      <x:c r="Q17" s="328"/>
      <x:c r="R17" s="329"/>
    </x:row>
    <x:row r="18" ht="23" customHeight="1">
      <x:c r="A18" s="261"/>
      <x:c r="B18" s="262"/>
      <x:c r="C18" s="263"/>
      <x:c r="D18" s="220"/>
      <x:c r="E18" s="221"/>
      <x:c r="F18" s="222"/>
      <x:c r="G18" s="309"/>
      <x:c r="H18" s="310"/>
      <x:c r="I18" s="311"/>
      <x:c r="J18" s="318"/>
      <x:c r="K18" s="319"/>
      <x:c r="L18" s="320"/>
      <x:c r="M18" s="327"/>
      <x:c r="N18" s="328"/>
      <x:c r="O18" s="329"/>
      <x:c r="P18" s="327"/>
      <x:c r="Q18" s="328"/>
      <x:c r="R18" s="329"/>
    </x:row>
    <x:row r="19" ht="23" customHeight="1">
      <x:c r="A19" s="264" t="str">
        <x:v>美东 · 逐只口径见下表</x:v>
      </x:c>
      <x:c r="B19" s="265"/>
      <x:c r="C19" s="266"/>
      <x:c r="D19" s="184" t="str">
        <x:v>只 · 含注明来源的转录</x:v>
      </x:c>
      <x:c r="E19" s="185"/>
      <x:c r="F19" s="186"/>
      <x:c r="G19" s="312" t="str">
        <x:v>XRP · 4/5只 · 2026-10-19美东</x:v>
      </x:c>
      <x:c r="H19" s="313"/>
      <x:c r="I19" s="314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3" t="str">
        <x:v>  近7个完整 UTC 日收盘价</x:v>
      </x:c>
      <x:c r="B21" s="334"/>
      <x:c r="C21" s="334"/>
      <x:c r="D21" s="334"/>
      <x:c r="E21" s="334"/>
      <x:c r="F21" s="335"/>
      <x:c r="G21" s="333" t="str">
        <x:v>  逐日收盘变动</x:v>
      </x:c>
      <x:c r="H21" s="334"/>
      <x:c r="I21" s="334"/>
      <x:c r="J21" s="334"/>
      <x:c r="K21" s="334"/>
      <x:c r="L21" s="335"/>
      <x:c r="M21" s="333" t="str">
        <x:v>ETF 持仓核实范围</x:v>
      </x:c>
      <x:c r="N21" s="334"/>
      <x:c r="O21" s="334"/>
      <x:c r="P21" s="334"/>
      <x:c r="Q21" s="334"/>
      <x:c r="R21" s="335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39" t="str">
        <x:v>逐只可查 4/5 · 同日样本 4/5</x:v>
      </x:c>
      <x:c r="N23" s="340"/>
      <x:c r="O23" s="340"/>
      <x:c r="P23" s="340"/>
      <x:c r="Q23" s="340"/>
      <x:c r="R23" s="341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39"/>
      <x:c r="N24" s="340"/>
      <x:c r="O24" s="340"/>
      <x:c r="P24" s="340"/>
      <x:c r="Q24" s="340"/>
      <x:c r="R24" s="341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45" t="str">
        <x:v>XRP   XRPC   XRPZ   GXRP   TOXR</x:v>
      </x:c>
      <x:c r="N26" s="346"/>
      <x:c r="O26" s="346"/>
      <x:c r="P26" s="346"/>
      <x:c r="Q26" s="346"/>
      <x:c r="R26" s="347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45"/>
      <x:c r="N27" s="346"/>
      <x:c r="O27" s="346"/>
      <x:c r="P27" s="346"/>
      <x:c r="Q27" s="346"/>
      <x:c r="R27" s="347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53" t="str">
        <x:v>统计范围</x:v>
      </x:c>
      <x:c r="N30" s="354"/>
      <x:c r="O30" s="354"/>
      <x:c r="P30" s="355" t="str">
        <x:v>纯现货信托</x:v>
      </x:c>
      <x:c r="Q30" s="355"/>
      <x:c r="R30" s="356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57"/>
      <x:c r="N31" s="358"/>
      <x:c r="O31" s="358"/>
      <x:c r="P31" s="355"/>
      <x:c r="Q31" s="355"/>
      <x:c r="R31" s="356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26"/>
      <x:c r="N32" s="43"/>
      <x:c r="O32" s="43"/>
      <x:c r="P32" s="43"/>
      <x:c r="Q32" s="43"/>
      <x:c r="R32" s="227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62" t="str">
        <x:v>不含 BITW 多资产与 XRPR 间接持仓</x:v>
      </x:c>
      <x:c r="N33" s="363"/>
      <x:c r="O33" s="363"/>
      <x:c r="P33" s="363"/>
      <x:c r="Q33" s="363"/>
      <x:c r="R33" s="364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3" t="str">
        <x:v>  美国现货 XRP ETF 产品明细  ·  持仓日期逐只标注  ·  流量 待披露 美东</x:v>
      </x:c>
      <x:c r="B36" s="334"/>
      <x:c r="C36" s="334"/>
      <x:c r="D36" s="334"/>
      <x:c r="E36" s="334"/>
      <x:c r="F36" s="334"/>
      <x:c r="G36" s="334"/>
      <x:c r="H36" s="334"/>
      <x:c r="I36" s="334"/>
      <x:c r="J36" s="334"/>
      <x:c r="K36" s="334"/>
      <x:c r="L36" s="334"/>
      <x:c r="M36" s="334"/>
      <x:c r="N36" s="334"/>
      <x:c r="O36" s="334"/>
      <x:c r="P36" s="334"/>
      <x:c r="Q36" s="334"/>
      <x:c r="R36" s="335"/>
    </x:row>
    <x:row r="37" ht="29" customHeight="1">
      <x:c r="A37" s="36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0"/>
    </x:row>
    <x:row r="38" ht="27" customHeight="1">
      <x:c r="A38" s="382" t="str">
        <x:f>'持仓录入'!F18</x:f>
        <x:v>XRP</x:v>
      </x:c>
      <x:c r="B38" s="383"/>
      <x:c r="C38" s="384" t="str">
        <x:f>'持仓录入'!G18</x:f>
        <x:v>Bitwise</x:v>
      </x:c>
      <x:c r="D38" s="384"/>
      <x:c r="E38" s="385" t="n">
        <x:f>'持仓录入'!J18</x:f>
        <x:v>0.34</x:v>
      </x:c>
      <x:c r="F38" s="384"/>
      <x:c r="G38" s="386" t="n">
        <x:f>'持仓录入'!H18</x:f>
        <x:v>417729396.21</x:v>
      </x:c>
      <x:c r="H38" s="387"/>
      <x:c r="I38" s="387"/>
      <x:c r="J38" s="387"/>
      <x:c r="K38" s="388" t="str">
        <x:f>'持仓录入'!I18</x:f>
        <x:v>2026-10-19</x:v>
      </x:c>
      <x:c r="L38" s="388"/>
      <x:c r="M38" s="389" t="str">
        <x:v>未披露</x:v>
      </x:c>
      <x:c r="N38" s="390"/>
      <x:c r="O38" s="390"/>
      <x:c r="P38" s="388" t="str">
        <x:v>—</x:v>
      </x:c>
      <x:c r="Q38" s="388"/>
      <x:c r="R38" s="391"/>
    </x:row>
    <x:row r="39" ht="27" customHeight="1">
      <x:c r="A39" s="402" t="str">
        <x:f>'持仓录入'!F19</x:f>
        <x:v>XRPC</x:v>
      </x:c>
      <x:c r="B39" s="403"/>
      <x:c r="C39" s="15" t="str">
        <x:f>'持仓录入'!G19</x:f>
        <x:v>Canary</x:v>
      </x:c>
      <x:c r="D39" s="15"/>
      <x:c r="E39" s="404" t="n">
        <x:f>'持仓录入'!J19</x:f>
        <x:v>0.5</x:v>
      </x:c>
      <x:c r="F39" s="15"/>
      <x:c r="G39" s="405" t="n">
        <x:f>'持仓录入'!H19</x:f>
        <x:v>243456798.34</x:v>
      </x:c>
      <x:c r="H39" s="406"/>
      <x:c r="I39" s="406"/>
      <x:c r="J39" s="406"/>
      <x:c r="K39" s="407" t="str">
        <x:f>'持仓录入'!I19</x:f>
        <x:v>2026-10-19</x:v>
      </x:c>
      <x:c r="L39" s="407"/>
      <x:c r="M39" s="408" t="str">
        <x:v>未披露</x:v>
      </x:c>
      <x:c r="N39" s="409"/>
      <x:c r="O39" s="409"/>
      <x:c r="P39" s="407" t="str">
        <x:v>—</x:v>
      </x:c>
      <x:c r="Q39" s="407"/>
      <x:c r="R39" s="410"/>
    </x:row>
    <x:row r="40" ht="27" customHeight="1">
      <x:c r="A40" s="382" t="str">
        <x:f>'持仓录入'!F20</x:f>
        <x:v>XRPZ</x:v>
      </x:c>
      <x:c r="B40" s="383"/>
      <x:c r="C40" s="384" t="str">
        <x:f>'持仓录入'!G20</x:f>
        <x:v>Franklin Templeton</x:v>
      </x:c>
      <x:c r="D40" s="384"/>
      <x:c r="E40" s="385" t="str">
        <x:v>待核实</x:v>
      </x:c>
      <x:c r="F40" s="384"/>
      <x:c r="G40" s="386" t="n">
        <x:f>'持仓录入'!H20</x:f>
        <x:v>301795330.58</x:v>
      </x:c>
      <x:c r="H40" s="387"/>
      <x:c r="I40" s="387"/>
      <x:c r="J40" s="387"/>
      <x:c r="K40" s="388" t="str">
        <x:f>'持仓录入'!I20</x:f>
        <x:v>2026-10-19</x:v>
      </x:c>
      <x:c r="L40" s="388"/>
      <x:c r="M40" s="389" t="str">
        <x:v>未披露</x:v>
      </x:c>
      <x:c r="N40" s="390"/>
      <x:c r="O40" s="390"/>
      <x:c r="P40" s="388" t="str">
        <x:v>—</x:v>
      </x:c>
      <x:c r="Q40" s="388"/>
      <x:c r="R40" s="391"/>
    </x:row>
    <x:row r="41" ht="27" customHeight="1">
      <x:c r="A41" s="402" t="str">
        <x:f>'持仓录入'!F21</x:f>
        <x:v>GXRP</x:v>
      </x:c>
      <x:c r="B41" s="403"/>
      <x:c r="C41" s="15" t="str">
        <x:f>'持仓录入'!G21</x:f>
        <x:v>Grayscale</x:v>
      </x:c>
      <x:c r="D41" s="15"/>
      <x:c r="E41" s="404" t="str">
        <x:v>待核实</x:v>
      </x:c>
      <x:c r="F41" s="15"/>
      <x:c r="G41" s="412" t="str">
        <x:v>未核实</x:v>
      </x:c>
      <x:c r="H41" s="409"/>
      <x:c r="I41" s="409"/>
      <x:c r="J41" s="409"/>
      <x:c r="K41" s="407" t="str">
        <x:v>—</x:v>
      </x:c>
      <x:c r="L41" s="407"/>
      <x:c r="M41" s="408" t="str">
        <x:v>未披露</x:v>
      </x:c>
      <x:c r="N41" s="409"/>
      <x:c r="O41" s="409"/>
      <x:c r="P41" s="407" t="str">
        <x:v>—</x:v>
      </x:c>
      <x:c r="Q41" s="407"/>
      <x:c r="R41" s="410"/>
    </x:row>
    <x:row r="42" ht="27" customHeight="1">
      <x:c r="A42" s="382" t="str">
        <x:f>'持仓录入'!F22</x:f>
        <x:v>TOXR</x:v>
      </x:c>
      <x:c r="B42" s="383"/>
      <x:c r="C42" s="384" t="str">
        <x:f>'持仓录入'!G22</x:f>
        <x:v>21shares</x:v>
      </x:c>
      <x:c r="D42" s="384"/>
      <x:c r="E42" s="385" t="n">
        <x:f>'持仓录入'!J22</x:f>
        <x:v>0.3</x:v>
      </x:c>
      <x:c r="F42" s="384"/>
      <x:c r="G42" s="386" t="n">
        <x:f>'持仓录入'!H22</x:f>
        <x:v>107295620.64</x:v>
      </x:c>
      <x:c r="H42" s="387"/>
      <x:c r="I42" s="387"/>
      <x:c r="J42" s="387"/>
      <x:c r="K42" s="388" t="str">
        <x:f>'持仓录入'!I22</x:f>
        <x:v>2026-10-19</x:v>
      </x:c>
      <x:c r="L42" s="388"/>
      <x:c r="M42" s="389" t="str">
        <x:v>未披露</x:v>
      </x:c>
      <x:c r="N42" s="390"/>
      <x:c r="O42" s="390"/>
      <x:c r="P42" s="388" t="str">
        <x:v>—</x:v>
      </x:c>
      <x:c r="Q42" s="388"/>
      <x:c r="R42" s="391"/>
    </x:row>
    <x:row r="43" ht="34" customHeight="1">
      <x:c r="A43" s="420" t="str">
        <x:v>已核实持仓样本 4/5 只</x:v>
      </x:c>
      <x:c r="B43" s="421"/>
      <x:c r="C43" s="421"/>
      <x:c r="D43" s="421"/>
      <x:c r="E43" s="421"/>
      <x:c r="F43" s="421"/>
      <x:c r="G43" s="422" t="n">
        <x:f>'持仓录入'!B5</x:f>
        <x:v>1070277145.7699999</x:v>
      </x:c>
      <x:c r="H43" s="421"/>
      <x:c r="I43" s="421"/>
      <x:c r="J43" s="421"/>
      <x:c r="K43" s="421" t="str">
        <x:v>ETF 净流量 · 待披露 美东</x:v>
      </x:c>
      <x:c r="L43" s="421"/>
      <x:c r="M43" s="421"/>
      <x:c r="N43" s="421"/>
      <x:c r="O43" s="421"/>
      <x:c r="P43" s="423" t="str">
        <x:v>待披露</x:v>
      </x:c>
      <x:c r="Q43" s="421"/>
      <x:c r="R43" s="424"/>
    </x:row>
    <x:row r="44" ht="23" customHeight="1">
      <x:c r="A44" s="359" t="str">
        <x:v>口径：转录行日期为数据集 settled 观察日；直接披露行用发行商日期；不据此混算原生币日变化。</x:v>
      </x:c>
      <x:c r="B44" s="360"/>
      <x:c r="C44" s="360"/>
      <x:c r="D44" s="360"/>
      <x:c r="E44" s="360"/>
      <x:c r="F44" s="360"/>
      <x:c r="G44" s="360"/>
      <x:c r="H44" s="360"/>
      <x:c r="I44" s="360"/>
      <x:c r="J44" s="360"/>
      <x:c r="K44" s="360"/>
      <x:c r="L44" s="360"/>
      <x:c r="M44" s="360"/>
      <x:c r="N44" s="360"/>
      <x:c r="O44" s="360"/>
      <x:c r="P44" s="360"/>
      <x:c r="Q44" s="360"/>
      <x:c r="R44" s="361"/>
    </x:row>
    <x:row r="45" ht="23" customHeight="1">
      <x:c r="A45" s="359" t="str">
        <x:v>0.0 表示来源明确披露零流量；“未披露”或“未核实”表示缺失，不能填零。</x:v>
      </x:c>
      <x:c r="B45" s="360"/>
      <x:c r="C45" s="360"/>
      <x:c r="D45" s="360"/>
      <x:c r="E45" s="360"/>
      <x:c r="F45" s="360"/>
      <x:c r="G45" s="360"/>
      <x:c r="H45" s="360"/>
      <x:c r="I45" s="360"/>
      <x:c r="J45" s="360"/>
      <x:c r="K45" s="360"/>
      <x:c r="L45" s="360"/>
      <x:c r="M45" s="360"/>
      <x:c r="N45" s="360"/>
      <x:c r="O45" s="360"/>
      <x:c r="P45" s="360"/>
      <x:c r="Q45" s="360"/>
      <x:c r="R45" s="361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25" t="str">
        <x:v>行情观察 13:57 北京时间｜收盘截至 2026-10-20 UTC｜持仓样本 2026-10-19 美东（逐只日期见表）｜流量 待披露 美东</x:v>
      </x:c>
      <x:c r="B48" s="425"/>
      <x:c r="C48" s="425"/>
      <x:c r="D48" s="425"/>
      <x:c r="E48" s="425"/>
      <x:c r="F48" s="425"/>
      <x:c r="G48" s="425"/>
      <x:c r="H48" s="425"/>
      <x:c r="I48" s="425"/>
      <x:c r="J48" s="425"/>
      <x:c r="K48" s="425"/>
      <x:c r="L48" s="425"/>
      <x:c r="M48" s="425"/>
      <x:c r="N48" s="425"/>
      <x:c r="O48" s="425"/>
      <x:c r="P48" s="425"/>
      <x:c r="Q48" s="425"/>
      <x:c r="R48" s="425"/>
    </x:row>
    <x:row r="49" ht="23" customHeight="1">
      <x:c r="A49" s="425" t="str">
        <x:v>原始行情采集 2026-10-21T13:58:14+08:00｜本次产品明细核验 2026-10-21T13:58:14+08:00</x:v>
      </x:c>
      <x:c r="B49" s="425"/>
      <x:c r="C49" s="425"/>
      <x:c r="D49" s="425"/>
      <x:c r="E49" s="425"/>
      <x:c r="F49" s="425"/>
      <x:c r="G49" s="425"/>
      <x:c r="H49" s="425"/>
      <x:c r="I49" s="425"/>
      <x:c r="J49" s="425"/>
      <x:c r="K49" s="425"/>
      <x:c r="L49" s="425"/>
      <x:c r="M49" s="425"/>
      <x:c r="N49" s="425"/>
      <x:c r="O49" s="425"/>
      <x:c r="P49" s="425"/>
      <x:c r="Q49" s="425"/>
      <x:c r="R49" s="425"/>
    </x:row>
    <x:row r="50" ht="23" customHeight="1">
      <x:c r="A50" s="425" t="str">
        <x:v>行情、ETF 持仓、美元流量和链上指标属于不同口径，均按各自来源日期展示。</x:v>
      </x:c>
      <x:c r="B50" s="425"/>
      <x:c r="C50" s="425"/>
      <x:c r="D50" s="425"/>
      <x:c r="E50" s="425"/>
      <x:c r="F50" s="425"/>
      <x:c r="G50" s="425"/>
      <x:c r="H50" s="425"/>
      <x:c r="I50" s="425"/>
      <x:c r="J50" s="425"/>
      <x:c r="K50" s="425"/>
      <x:c r="L50" s="425"/>
      <x:c r="M50" s="425"/>
      <x:c r="N50" s="425"/>
      <x:c r="O50" s="425"/>
      <x:c r="P50" s="425"/>
      <x:c r="Q50" s="425"/>
      <x:c r="R50" s="425"/>
    </x:row>
    <x:row r="51" ht="23" customHeight="1">
      <x:c r="A51" s="425" t="str">
        <x:v>产品链接、费率与流量来源见「持仓录入」；价格历史见「行情与资金流」；链上数据见「链上与动态」。</x:v>
      </x:c>
      <x:c r="B51" s="425"/>
      <x:c r="C51" s="425"/>
      <x:c r="D51" s="425"/>
      <x:c r="E51" s="425"/>
      <x:c r="F51" s="425"/>
      <x:c r="G51" s="425"/>
      <x:c r="H51" s="425"/>
      <x:c r="I51" s="425"/>
      <x:c r="J51" s="425"/>
      <x:c r="K51" s="425"/>
      <x:c r="L51" s="425"/>
      <x:c r="M51" s="425"/>
      <x:c r="N51" s="425"/>
      <x:c r="O51" s="425"/>
      <x:c r="P51" s="425"/>
      <x:c r="Q51" s="425"/>
      <x:c r="R51" s="425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1346e3c84dc347f5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4/5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1070277145.7699999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417729396.21</x:v>
      </x:c>
      <x:c r="I18" s="16" t="str">
        <x:v>2026-10-19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243456798.34</x:v>
      </x:c>
      <x:c r="I19" s="17" t="str">
        <x:v>2026-10-19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301795330.58</x:v>
      </x:c>
      <x:c r="I20" s="16" t="str">
        <x:v>2026-10-19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待核实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2026-10-19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4/5。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2026-10-21 13:58:14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1.33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0.0240645</x:v>
      </x:c>
      <x:c r="C5" s="1"/>
      <x:c r="D5" s="1" t="str">
        <x:v>持币总量状态</x:v>
      </x:c>
      <x:c r="E5" s="1" t="str">
        <x:v>逐只 4/5；同日 4/5；总量待核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1416566530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84138872782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-0.029152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10-14</x:v>
      </x:c>
      <x:c r="E11" s="57" t="n">
        <x:v>1.330594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10-15</x:v>
      </x:c>
      <x:c r="M11" s="58" t="n">
        <x:f>MAX(E12/E11-1,0)</x:f>
        <x:v>0.0022170549393729644</x:v>
      </x:c>
      <x:c r="N11" s="58" t="n">
        <x:f>MIN(E12/E11-1,0)</x:f>
        <x:v>0</x:v>
      </x:c>
    </x:row>
    <x:row r="12" ht="48" customHeight="1">
      <x:c r="A12" s="55"/>
      <x:c r="B12" s="56"/>
      <x:c r="C12" s="1"/>
      <x:c r="D12" s="14" t="str">
        <x:v>10-15</x:v>
      </x:c>
      <x:c r="E12" s="57" t="n">
        <x:v>1.333544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10-16</x:v>
      </x:c>
      <x:c r="M12" s="58" t="n">
        <x:f>MAX(E13/E12-1,0)</x:f>
        <x:v>0</x:v>
      </x:c>
      <x:c r="N12" s="58" t="n">
        <x:f>MIN(E13/E12-1,0)</x:f>
        <x:v>-0.017676207159268986</x:v>
      </x:c>
    </x:row>
    <x:row r="13" ht="28" customHeight="1">
      <x:c r="A13" s="55"/>
      <x:c r="B13" s="56"/>
      <x:c r="C13" s="1"/>
      <x:c r="D13" s="14" t="str">
        <x:v>10-16</x:v>
      </x:c>
      <x:c r="E13" s="57" t="n">
        <x:v>1.309972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10-17</x:v>
      </x:c>
      <x:c r="M13" s="58" t="n">
        <x:f>MAX(E14/E13-1,0)</x:f>
        <x:v>0</x:v>
      </x:c>
      <x:c r="N13" s="58" t="n">
        <x:f>MIN(E14/E13-1,0)</x:f>
        <x:v>-0.013219366520811016</x:v>
      </x:c>
    </x:row>
    <x:row r="14" ht="28" customHeight="1">
      <x:c r="A14" s="55"/>
      <x:c r="B14" s="56"/>
      <x:c r="C14" s="1"/>
      <x:c r="D14" s="14" t="str">
        <x:v>10-17</x:v>
      </x:c>
      <x:c r="E14" s="57" t="n">
        <x:v>1.292655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10-18</x:v>
      </x:c>
      <x:c r="M14" s="58" t="n">
        <x:f>MAX(E15/E14-1,0)</x:f>
        <x:v>0.01006455705505327</x:v>
      </x:c>
      <x:c r="N14" s="58" t="n">
        <x:f>MIN(E15/E14-1,0)</x:f>
        <x:v>0</x:v>
      </x:c>
    </x:row>
    <x:row r="15" ht="48" customHeight="1">
      <x:c r="A15" s="55"/>
      <x:c r="B15" s="56"/>
      <x:c r="C15" s="1"/>
      <x:c r="D15" s="14" t="str">
        <x:v>10-18</x:v>
      </x:c>
      <x:c r="E15" s="57" t="n">
        <x:v>1.305665</x:v>
      </x:c>
      <x:c r="F15" s="1"/>
      <x:c r="G15" s="1" t="str">
        <x:v>行情时间口径</x:v>
      </x:c>
      <x:c r="H15" s="36" t="str">
        <x:v>行情提供方更新时间 2026-10-21T05:57:51.000Z</x:v>
      </x:c>
      <x:c r="I15" s="1"/>
      <x:c r="J15" s="1"/>
      <x:c r="K15" s="1"/>
      <x:c r="L15" s="1" t="str">
        <x:f>D16</x:f>
        <x:v>10-19</x:v>
      </x:c>
      <x:c r="M15" s="58" t="n">
        <x:f>MAX(E16/E15-1,0)</x:f>
        <x:v>0</x:v>
      </x:c>
      <x:c r="N15" s="58" t="n">
        <x:f>MIN(E16/E15-1,0)</x:f>
        <x:v>-0.001962984379607402</x:v>
      </x:c>
    </x:row>
    <x:row r="16" ht="28" customHeight="1">
      <x:c r="A16" s="55"/>
      <x:c r="B16" s="56"/>
      <x:c r="C16" s="1"/>
      <x:c r="D16" s="14" t="str">
        <x:v>10-19</x:v>
      </x:c>
      <x:c r="E16" s="57" t="n">
        <x:v>1.303102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10-20</x:v>
      </x:c>
      <x:c r="M16" s="58" t="n">
        <x:f>MAX(E17/E16-1,0)</x:f>
        <x:v>0.023912172646500585</x:v>
      </x:c>
      <x:c r="N16" s="58" t="n">
        <x:f>MIN(E17/E16-1,0)</x:f>
        <x:v>0</x:v>
      </x:c>
    </x:row>
    <x:row r="17" ht="28" customHeight="1">
      <x:c r="A17" s="55"/>
      <x:c r="B17" s="56"/>
      <x:c r="C17" s="1"/>
      <x:c r="D17" s="14" t="str">
        <x:v>10-20</x:v>
      </x:c>
      <x:c r="E17" s="57" t="n">
        <x:v>1.334262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