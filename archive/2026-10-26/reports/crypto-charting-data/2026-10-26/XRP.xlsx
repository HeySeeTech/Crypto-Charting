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886b0f8a0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9015053e49754c36"/>
    <x:sheet xmlns:r="http://schemas.openxmlformats.org/officeDocument/2006/relationships" name="持仓录入" sheetId="2" r:id="Ra92626fba009495f"/>
    <x:sheet xmlns:r="http://schemas.openxmlformats.org/officeDocument/2006/relationships" name="行情与资金流" sheetId="3" r:id="R121b05e63f664196"/>
    <x:sheet xmlns:r="http://schemas.openxmlformats.org/officeDocument/2006/relationships" name="链上与动态" sheetId="4" r:id="R07d850c566b4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8429b2a93401a" /><Relationship Type="http://schemas.openxmlformats.org/officeDocument/2006/relationships/theme" Target="/xl/theme/theme1.xml" Id="Rbe787639b8cd438a" /><Relationship Type="http://schemas.openxmlformats.org/officeDocument/2006/relationships/sharedStrings" Target="/xl/sharedStrings.xml" Id="R3931d5e0a2624484" /><Relationship Type="http://schemas.openxmlformats.org/officeDocument/2006/relationships/worksheet" Target="/xl/worksheets/sheet1.xml" Id="R9015053e49754c36" /><Relationship Type="http://schemas.openxmlformats.org/officeDocument/2006/relationships/worksheet" Target="/xl/worksheets/sheet2.xml" Id="Ra92626fba009495f" /><Relationship Type="http://schemas.openxmlformats.org/officeDocument/2006/relationships/worksheet" Target="/xl/worksheets/sheet3.xml" Id="R121b05e63f664196" /><Relationship Type="http://schemas.openxmlformats.org/officeDocument/2006/relationships/worksheet" Target="/xl/worksheets/sheet4.xml" Id="R07d850c566b440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bf40f45e2b45ba" /><Relationship Type="http://schemas.openxmlformats.org/officeDocument/2006/relationships/chart" Target="/xl/drawings/charts/chart2.xml" Id="R82cbb8f6e31b47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bf40f45e2b45b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cbb8f6e31b47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2f510c64334e0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2026.10.26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10:00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4/5；2026-10-23 同日样本 3/5；异日数不入小计。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1.29</x:v>
      </x:c>
      <x:c r="B10" s="134"/>
      <x:c r="C10" s="135"/>
      <x:c r="D10" s="181" t="n">
        <x:f>'行情与资金流'!B5</x:f>
        <x:v>-0.013107299999999999</x:v>
      </x:c>
      <x:c r="E10" s="182"/>
      <x:c r="F10" s="183"/>
      <x:c r="G10" s="181" t="n">
        <x:f>'行情与资金流'!B8</x:f>
        <x:v>-0.012613000000000001</x:v>
      </x:c>
      <x:c r="H10" s="182"/>
      <x:c r="I10" s="183"/>
      <x:c r="J10" s="196" t="n">
        <x:f>'行情与资金流'!B6</x:f>
        <x:v>1045058391</x:v>
      </x:c>
      <x:c r="K10" s="197"/>
      <x:c r="L10" s="198"/>
      <x:c r="M10" s="196" t="n">
        <x:f>'行情与资金流'!B7</x:f>
        <x:v>81647227102</x:v>
      </x:c>
      <x:c r="N10" s="197"/>
      <x:c r="O10" s="198"/>
      <x:c r="P10" s="208" t="str">
        <x:v>待披露</x:v>
      </x:c>
      <x:c r="Q10" s="209"/>
      <x:c r="R10" s="210"/>
    </x:row>
    <x:row r="11" ht="23" customHeight="1">
      <x:c r="A11" s="133"/>
      <x:c r="B11" s="134"/>
      <x:c r="C11" s="135"/>
      <x:c r="D11" s="181"/>
      <x:c r="E11" s="182"/>
      <x:c r="F11" s="183"/>
      <x:c r="G11" s="181"/>
      <x:c r="H11" s="182"/>
      <x:c r="I11" s="183"/>
      <x:c r="J11" s="196"/>
      <x:c r="K11" s="197"/>
      <x:c r="L11" s="198"/>
      <x:c r="M11" s="196"/>
      <x:c r="N11" s="197"/>
      <x:c r="O11" s="198"/>
      <x:c r="P11" s="208"/>
      <x:c r="Q11" s="209"/>
      <x:c r="R11" s="210"/>
    </x:row>
    <x:row r="12" ht="23" customHeight="1">
      <x:c r="A12" s="133"/>
      <x:c r="B12" s="134"/>
      <x:c r="C12" s="135"/>
      <x:c r="D12" s="181"/>
      <x:c r="E12" s="182"/>
      <x:c r="F12" s="183"/>
      <x:c r="G12" s="181"/>
      <x:c r="H12" s="182"/>
      <x:c r="I12" s="183"/>
      <x:c r="J12" s="196"/>
      <x:c r="K12" s="197"/>
      <x:c r="L12" s="198"/>
      <x:c r="M12" s="196"/>
      <x:c r="N12" s="197"/>
      <x:c r="O12" s="198"/>
      <x:c r="P12" s="208"/>
      <x:c r="Q12" s="209"/>
      <x:c r="R12" s="210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43" t="str">
        <x:v>同日样本观察日</x:v>
      </x:c>
      <x:c r="B14" s="244"/>
      <x:c r="C14" s="245"/>
      <x:c r="D14" s="175" t="str">
        <x:v>持仓可查产品</x:v>
      </x:c>
      <x:c r="E14" s="176"/>
      <x:c r="F14" s="177"/>
      <x:c r="G14" s="291" t="str">
        <x:v>已核实持仓样本</x:v>
      </x:c>
      <x:c r="H14" s="292"/>
      <x:c r="I14" s="293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46"/>
      <x:c r="B15" s="247"/>
      <x:c r="C15" s="248"/>
      <x:c r="D15" s="178"/>
      <x:c r="E15" s="179"/>
      <x:c r="F15" s="180"/>
      <x:c r="G15" s="294"/>
      <x:c r="H15" s="295"/>
      <x:c r="I15" s="296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49" t="str">
        <x:v>2026-10-23</x:v>
      </x:c>
      <x:c r="B16" s="250"/>
      <x:c r="C16" s="251"/>
      <x:c r="D16" s="208" t="str">
        <x:v>4/5</x:v>
      </x:c>
      <x:c r="E16" s="209"/>
      <x:c r="F16" s="210"/>
      <x:c r="G16" s="297" t="n">
        <x:f>'持仓录入'!B5</x:f>
        <x:v>656818377.67</x:v>
      </x:c>
      <x:c r="H16" s="298"/>
      <x:c r="I16" s="299"/>
      <x:c r="J16" s="306" t="n">
        <x:v>5</x:v>
      </x:c>
      <x:c r="K16" s="307"/>
      <x:c r="L16" s="308"/>
      <x:c r="M16" s="318" t="n">
        <x:f>'行情与资金流'!B9</x:f>
        <x:v>63351197653</x:v>
      </x:c>
      <x:c r="N16" s="319"/>
      <x:c r="O16" s="320"/>
      <x:c r="P16" s="318" t="str">
        <x:v>1/5</x:v>
      </x:c>
      <x:c r="Q16" s="319"/>
      <x:c r="R16" s="320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8"/>
      <x:c r="N17" s="319"/>
      <x:c r="O17" s="320"/>
      <x:c r="P17" s="318"/>
      <x:c r="Q17" s="319"/>
      <x:c r="R17" s="320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8"/>
      <x:c r="N18" s="319"/>
      <x:c r="O18" s="320"/>
      <x:c r="P18" s="318"/>
      <x:c r="Q18" s="319"/>
      <x:c r="R18" s="320"/>
    </x:row>
    <x:row r="19" ht="23" customHeight="1">
      <x:c r="A19" s="252" t="str">
        <x:v>美东 · 逐只口径见下表</x:v>
      </x:c>
      <x:c r="B19" s="253"/>
      <x:c r="C19" s="254"/>
      <x:c r="D19" s="184" t="str">
        <x:v>只 · 含注明来源的转录</x:v>
      </x:c>
      <x:c r="E19" s="185"/>
      <x:c r="F19" s="186"/>
      <x:c r="G19" s="300" t="str">
        <x:v>XRP · 3/5只 · 2026-10-23美东</x:v>
      </x:c>
      <x:c r="H19" s="301"/>
      <x:c r="I19" s="302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4" t="str">
        <x:v>  近7个完整 UTC 日收盘价</x:v>
      </x:c>
      <x:c r="B21" s="325"/>
      <x:c r="C21" s="325"/>
      <x:c r="D21" s="325"/>
      <x:c r="E21" s="325"/>
      <x:c r="F21" s="326"/>
      <x:c r="G21" s="324" t="str">
        <x:v>  逐日收盘变动</x:v>
      </x:c>
      <x:c r="H21" s="325"/>
      <x:c r="I21" s="325"/>
      <x:c r="J21" s="325"/>
      <x:c r="K21" s="325"/>
      <x:c r="L21" s="326"/>
      <x:c r="M21" s="324" t="str">
        <x:v>ETF 持仓核实范围</x:v>
      </x:c>
      <x:c r="N21" s="325"/>
      <x:c r="O21" s="325"/>
      <x:c r="P21" s="325"/>
      <x:c r="Q21" s="325"/>
      <x:c r="R21" s="326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30" t="str">
        <x:v>逐只可查 4/5 · 同日样本 3/5</x:v>
      </x:c>
      <x:c r="N23" s="331"/>
      <x:c r="O23" s="331"/>
      <x:c r="P23" s="331"/>
      <x:c r="Q23" s="331"/>
      <x:c r="R23" s="332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30"/>
      <x:c r="N24" s="331"/>
      <x:c r="O24" s="331"/>
      <x:c r="P24" s="331"/>
      <x:c r="Q24" s="331"/>
      <x:c r="R24" s="332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36" t="str">
        <x:v>XRP   XRPC   XRPZ   GXRP   TOXR</x:v>
      </x:c>
      <x:c r="N26" s="337"/>
      <x:c r="O26" s="337"/>
      <x:c r="P26" s="337"/>
      <x:c r="Q26" s="337"/>
      <x:c r="R26" s="338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36"/>
      <x:c r="N27" s="337"/>
      <x:c r="O27" s="337"/>
      <x:c r="P27" s="337"/>
      <x:c r="Q27" s="337"/>
      <x:c r="R27" s="338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44" t="str">
        <x:v>统计范围</x:v>
      </x:c>
      <x:c r="N30" s="345"/>
      <x:c r="O30" s="345"/>
      <x:c r="P30" s="346" t="str">
        <x:v>纯现货信托</x:v>
      </x:c>
      <x:c r="Q30" s="346"/>
      <x:c r="R30" s="347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48"/>
      <x:c r="N31" s="349"/>
      <x:c r="O31" s="349"/>
      <x:c r="P31" s="346"/>
      <x:c r="Q31" s="346"/>
      <x:c r="R31" s="347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14"/>
      <x:c r="N32" s="43"/>
      <x:c r="O32" s="43"/>
      <x:c r="P32" s="43"/>
      <x:c r="Q32" s="43"/>
      <x:c r="R32" s="215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53" t="str">
        <x:v>不含 BITW 多资产与 XRPR 间接持仓</x:v>
      </x:c>
      <x:c r="N33" s="354"/>
      <x:c r="O33" s="354"/>
      <x:c r="P33" s="354"/>
      <x:c r="Q33" s="354"/>
      <x:c r="R33" s="355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4" t="str">
        <x:v>  美国现货 XRP ETF 产品明细  ·  持仓日期逐只标注  ·  流量 待披露 美东</x:v>
      </x:c>
      <x:c r="B36" s="325"/>
      <x:c r="C36" s="325"/>
      <x:c r="D36" s="325"/>
      <x:c r="E36" s="325"/>
      <x:c r="F36" s="325"/>
      <x:c r="G36" s="325"/>
      <x:c r="H36" s="325"/>
      <x:c r="I36" s="325"/>
      <x:c r="J36" s="325"/>
      <x:c r="K36" s="325"/>
      <x:c r="L36" s="325"/>
      <x:c r="M36" s="325"/>
      <x:c r="N36" s="325"/>
      <x:c r="O36" s="325"/>
      <x:c r="P36" s="325"/>
      <x:c r="Q36" s="325"/>
      <x:c r="R36" s="326"/>
    </x:row>
    <x:row r="37" ht="29" customHeight="1">
      <x:c r="A37" s="36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1"/>
    </x:row>
    <x:row r="38" ht="27" customHeight="1">
      <x:c r="A38" s="373" t="str">
        <x:f>'持仓录入'!F18</x:f>
        <x:v>XRP</x:v>
      </x:c>
      <x:c r="B38" s="374"/>
      <x:c r="C38" s="375" t="str">
        <x:f>'持仓录入'!G18</x:f>
        <x:v>Bitwise</x:v>
      </x:c>
      <x:c r="D38" s="375"/>
      <x:c r="E38" s="376" t="n">
        <x:f>'持仓录入'!J18</x:f>
        <x:v>0.34</x:v>
      </x:c>
      <x:c r="F38" s="375"/>
      <x:c r="G38" s="377" t="n">
        <x:f>'持仓录入'!H18</x:f>
        <x:v>416612999.88</x:v>
      </x:c>
      <x:c r="H38" s="378"/>
      <x:c r="I38" s="378"/>
      <x:c r="J38" s="378"/>
      <x:c r="K38" s="379" t="str">
        <x:f>'持仓录入'!I18</x:f>
        <x:v>2026-10-22</x:v>
      </x:c>
      <x:c r="L38" s="379"/>
      <x:c r="M38" s="380" t="str">
        <x:v>来源表未列示</x:v>
      </x:c>
      <x:c r="N38" s="381"/>
      <x:c r="O38" s="381"/>
      <x:c r="P38" s="379" t="str">
        <x:v>—</x:v>
      </x:c>
      <x:c r="Q38" s="379"/>
      <x:c r="R38" s="382"/>
    </x:row>
    <x:row r="39" ht="27" customHeight="1">
      <x:c r="A39" s="393" t="str">
        <x:f>'持仓录入'!F19</x:f>
        <x:v>XRPC</x:v>
      </x:c>
      <x:c r="B39" s="394"/>
      <x:c r="C39" s="15" t="str">
        <x:f>'持仓录入'!G19</x:f>
        <x:v>Canary</x:v>
      </x:c>
      <x:c r="D39" s="15"/>
      <x:c r="E39" s="395" t="n">
        <x:f>'持仓录入'!J19</x:f>
        <x:v>0.5</x:v>
      </x:c>
      <x:c r="F39" s="15"/>
      <x:c r="G39" s="396" t="n">
        <x:f>'持仓录入'!H19</x:f>
        <x:v>243433454.12</x:v>
      </x:c>
      <x:c r="H39" s="397"/>
      <x:c r="I39" s="397"/>
      <x:c r="J39" s="397"/>
      <x:c r="K39" s="398" t="str">
        <x:f>'持仓录入'!I19</x:f>
        <x:v>2026-10-23</x:v>
      </x:c>
      <x:c r="L39" s="398"/>
      <x:c r="M39" s="399" t="str">
        <x:v>来源表未列示</x:v>
      </x:c>
      <x:c r="N39" s="400"/>
      <x:c r="O39" s="400"/>
      <x:c r="P39" s="398" t="str">
        <x:v>—</x:v>
      </x:c>
      <x:c r="Q39" s="398"/>
      <x:c r="R39" s="401"/>
    </x:row>
    <x:row r="40" ht="27" customHeight="1">
      <x:c r="A40" s="373" t="str">
        <x:f>'持仓录入'!F20</x:f>
        <x:v>XRPZ</x:v>
      </x:c>
      <x:c r="B40" s="374"/>
      <x:c r="C40" s="375" t="str">
        <x:f>'持仓录入'!G20</x:f>
        <x:v>Franklin Templeton</x:v>
      </x:c>
      <x:c r="D40" s="375"/>
      <x:c r="E40" s="376" t="str">
        <x:v>费率未在当前来源列示</x:v>
      </x:c>
      <x:c r="F40" s="375"/>
      <x:c r="G40" s="377" t="n">
        <x:f>'持仓录入'!H20</x:f>
        <x:v>306089302.91</x:v>
      </x:c>
      <x:c r="H40" s="378"/>
      <x:c r="I40" s="378"/>
      <x:c r="J40" s="378"/>
      <x:c r="K40" s="379" t="str">
        <x:f>'持仓录入'!I20</x:f>
        <x:v>2026-10-23</x:v>
      </x:c>
      <x:c r="L40" s="379"/>
      <x:c r="M40" s="380" t="str">
        <x:v>来源表未列示</x:v>
      </x:c>
      <x:c r="N40" s="381"/>
      <x:c r="O40" s="381"/>
      <x:c r="P40" s="379" t="str">
        <x:v>—</x:v>
      </x:c>
      <x:c r="Q40" s="379"/>
      <x:c r="R40" s="382"/>
    </x:row>
    <x:row r="41" ht="27" customHeight="1">
      <x:c r="A41" s="393" t="str">
        <x:f>'持仓录入'!F21</x:f>
        <x:v>GXRP</x:v>
      </x:c>
      <x:c r="B41" s="394"/>
      <x:c r="C41" s="15" t="str">
        <x:f>'持仓录入'!G21</x:f>
        <x:v>Grayscale</x:v>
      </x:c>
      <x:c r="D41" s="15"/>
      <x:c r="E41" s="395" t="str">
        <x:v>费率未在当前来源列示</x:v>
      </x:c>
      <x:c r="F41" s="15"/>
      <x:c r="G41" s="403" t="str">
        <x:v>未取得带日期数量</x:v>
      </x:c>
      <x:c r="H41" s="400"/>
      <x:c r="I41" s="400"/>
      <x:c r="J41" s="400"/>
      <x:c r="K41" s="398" t="str">
        <x:v>—</x:v>
      </x:c>
      <x:c r="L41" s="398"/>
      <x:c r="M41" s="399" t="str">
        <x:v>来源表未列示</x:v>
      </x:c>
      <x:c r="N41" s="400"/>
      <x:c r="O41" s="400"/>
      <x:c r="P41" s="398" t="str">
        <x:v>—</x:v>
      </x:c>
      <x:c r="Q41" s="398"/>
      <x:c r="R41" s="401"/>
    </x:row>
    <x:row r="42" ht="27" customHeight="1">
      <x:c r="A42" s="373" t="str">
        <x:f>'持仓录入'!F22</x:f>
        <x:v>TOXR</x:v>
      </x:c>
      <x:c r="B42" s="374"/>
      <x:c r="C42" s="375" t="str">
        <x:f>'持仓录入'!G22</x:f>
        <x:v>21shares</x:v>
      </x:c>
      <x:c r="D42" s="375"/>
      <x:c r="E42" s="376" t="n">
        <x:f>'持仓录入'!J22</x:f>
        <x:v>0.3</x:v>
      </x:c>
      <x:c r="F42" s="375"/>
      <x:c r="G42" s="377" t="n">
        <x:f>'持仓录入'!H22</x:f>
        <x:v>107295620.64</x:v>
      </x:c>
      <x:c r="H42" s="378"/>
      <x:c r="I42" s="378"/>
      <x:c r="J42" s="378"/>
      <x:c r="K42" s="379" t="str">
        <x:f>'持仓录入'!I22</x:f>
        <x:v>2026-10-23</x:v>
      </x:c>
      <x:c r="L42" s="379"/>
      <x:c r="M42" s="380" t="str">
        <x:v>来源表未列示</x:v>
      </x:c>
      <x:c r="N42" s="381"/>
      <x:c r="O42" s="381"/>
      <x:c r="P42" s="379" t="str">
        <x:v>—</x:v>
      </x:c>
      <x:c r="Q42" s="379"/>
      <x:c r="R42" s="382"/>
    </x:row>
    <x:row r="43" ht="34" customHeight="1">
      <x:c r="A43" s="411" t="str">
        <x:v>已核实持仓样本 3/5 只</x:v>
      </x:c>
      <x:c r="B43" s="412"/>
      <x:c r="C43" s="412"/>
      <x:c r="D43" s="412"/>
      <x:c r="E43" s="412"/>
      <x:c r="F43" s="412"/>
      <x:c r="G43" s="413" t="n">
        <x:f>'持仓录入'!B5</x:f>
        <x:v>656818377.67</x:v>
      </x:c>
      <x:c r="H43" s="412"/>
      <x:c r="I43" s="412"/>
      <x:c r="J43" s="412"/>
      <x:c r="K43" s="412" t="str">
        <x:v>ETF 净流量 · 待披露 美东</x:v>
      </x:c>
      <x:c r="L43" s="412"/>
      <x:c r="M43" s="412"/>
      <x:c r="N43" s="412"/>
      <x:c r="O43" s="412"/>
      <x:c r="P43" s="414" t="str">
        <x:v>待披露</x:v>
      </x:c>
      <x:c r="Q43" s="412"/>
      <x:c r="R43" s="415"/>
    </x:row>
    <x:row r="44" ht="23" customHeight="1">
      <x:c r="A44" s="350" t="str">
        <x:v>口径：转录行日期为数据集 settled 观察日；直接披露行用发行商日期；不据此混算原生币日变化。</x:v>
      </x:c>
      <x:c r="B44" s="351"/>
      <x:c r="C44" s="351"/>
      <x:c r="D44" s="351"/>
      <x:c r="E44" s="351"/>
      <x:c r="F44" s="351"/>
      <x:c r="G44" s="351"/>
      <x:c r="H44" s="351"/>
      <x:c r="I44" s="351"/>
      <x:c r="J44" s="351"/>
      <x:c r="K44" s="351"/>
      <x:c r="L44" s="351"/>
      <x:c r="M44" s="351"/>
      <x:c r="N44" s="351"/>
      <x:c r="O44" s="351"/>
      <x:c r="P44" s="351"/>
      <x:c r="Q44" s="351"/>
      <x:c r="R44" s="352"/>
    </x:row>
    <x:row r="45" ht="23" customHeight="1">
      <x:c r="A45" s="350" t="str">
        <x:v>0.0 表示来源明确披露零流量；“未披露”或“未核实”表示缺失，不能填零。</x:v>
      </x:c>
      <x:c r="B45" s="351"/>
      <x:c r="C45" s="351"/>
      <x:c r="D45" s="351"/>
      <x:c r="E45" s="351"/>
      <x:c r="F45" s="351"/>
      <x:c r="G45" s="351"/>
      <x:c r="H45" s="351"/>
      <x:c r="I45" s="351"/>
      <x:c r="J45" s="351"/>
      <x:c r="K45" s="351"/>
      <x:c r="L45" s="351"/>
      <x:c r="M45" s="351"/>
      <x:c r="N45" s="351"/>
      <x:c r="O45" s="351"/>
      <x:c r="P45" s="351"/>
      <x:c r="Q45" s="351"/>
      <x:c r="R45" s="352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16" t="str">
        <x:v>行情观察 10:00 北京时间｜收盘截至 2026-10-25 UTC｜持仓样本 2026-10-23 美东（逐只日期见表）｜流量 待披露 美东</x:v>
      </x:c>
      <x:c r="B48" s="416"/>
      <x:c r="C48" s="416"/>
      <x:c r="D48" s="416"/>
      <x:c r="E48" s="416"/>
      <x:c r="F48" s="416"/>
      <x:c r="G48" s="416"/>
      <x:c r="H48" s="416"/>
      <x:c r="I48" s="416"/>
      <x:c r="J48" s="416"/>
      <x:c r="K48" s="416"/>
      <x:c r="L48" s="416"/>
      <x:c r="M48" s="416"/>
      <x:c r="N48" s="416"/>
      <x:c r="O48" s="416"/>
      <x:c r="P48" s="416"/>
      <x:c r="Q48" s="416"/>
      <x:c r="R48" s="416"/>
    </x:row>
    <x:row r="49" ht="23" customHeight="1">
      <x:c r="A49" s="416" t="str">
        <x:v>原始行情采集 2026-10-26T10:02:02+08:00｜本次产品明细核验 2026-10-26T10:02:02+08:00</x:v>
      </x:c>
      <x:c r="B49" s="416"/>
      <x:c r="C49" s="416"/>
      <x:c r="D49" s="416"/>
      <x:c r="E49" s="416"/>
      <x:c r="F49" s="416"/>
      <x:c r="G49" s="416"/>
      <x:c r="H49" s="416"/>
      <x:c r="I49" s="416"/>
      <x:c r="J49" s="416"/>
      <x:c r="K49" s="416"/>
      <x:c r="L49" s="416"/>
      <x:c r="M49" s="416"/>
      <x:c r="N49" s="416"/>
      <x:c r="O49" s="416"/>
      <x:c r="P49" s="416"/>
      <x:c r="Q49" s="416"/>
      <x:c r="R49" s="416"/>
    </x:row>
    <x:row r="50" ht="23" customHeight="1">
      <x:c r="A50" s="416" t="str">
        <x:v>行情、ETF 持仓、美元流量和链上指标属于不同口径，均按各自来源日期展示。</x:v>
      </x:c>
      <x:c r="B50" s="416"/>
      <x:c r="C50" s="416"/>
      <x:c r="D50" s="416"/>
      <x:c r="E50" s="416"/>
      <x:c r="F50" s="416"/>
      <x:c r="G50" s="416"/>
      <x:c r="H50" s="416"/>
      <x:c r="I50" s="416"/>
      <x:c r="J50" s="416"/>
      <x:c r="K50" s="416"/>
      <x:c r="L50" s="416"/>
      <x:c r="M50" s="416"/>
      <x:c r="N50" s="416"/>
      <x:c r="O50" s="416"/>
      <x:c r="P50" s="416"/>
      <x:c r="Q50" s="416"/>
      <x:c r="R50" s="416"/>
    </x:row>
    <x:row r="51" ht="23" customHeight="1">
      <x:c r="A51" s="416" t="str">
        <x:v>产品链接、费率与流量来源见「持仓录入」；价格历史见「行情与资金流」；链上数据见「链上与动态」。</x:v>
      </x:c>
      <x:c r="B51" s="416"/>
      <x:c r="C51" s="416"/>
      <x:c r="D51" s="416"/>
      <x:c r="E51" s="416"/>
      <x:c r="F51" s="416"/>
      <x:c r="G51" s="416"/>
      <x:c r="H51" s="416"/>
      <x:c r="I51" s="416"/>
      <x:c r="J51" s="416"/>
      <x:c r="K51" s="416"/>
      <x:c r="L51" s="416"/>
      <x:c r="M51" s="416"/>
      <x:c r="N51" s="416"/>
      <x:c r="O51" s="416"/>
      <x:c r="P51" s="416"/>
      <x:c r="Q51" s="416"/>
      <x:c r="R51" s="416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142f510c64334e0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3/5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656818377.67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416612999.88</x:v>
      </x:c>
      <x:c r="I18" s="16" t="str">
        <x:v>2026-10-22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243433454.12</x:v>
      </x:c>
      <x:c r="I19" s="17" t="str">
        <x:v>2026-10-23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306089302.91</x:v>
      </x:c>
      <x:c r="I20" s="16" t="str">
        <x:v>2026-10-23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未取得带日期原生币数量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2026-10-23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3/5。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2026-10-26 10:02:02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1.29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-0.013107299999999999</x:v>
      </x:c>
      <x:c r="C5" s="1"/>
      <x:c r="D5" s="1" t="str">
        <x:v>持币总量状态</x:v>
      </x:c>
      <x:c r="E5" s="1" t="str">
        <x:v>逐只 4/5；同日 3/5；总量待核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1045058391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81647227102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-0.012613000000000001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63351197653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10-19</x:v>
      </x:c>
      <x:c r="E11" s="57" t="n">
        <x:v>1.303102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10-20</x:v>
      </x:c>
      <x:c r="M11" s="58" t="n">
        <x:f>MAX(E12/E11-1,0)</x:f>
        <x:v>0.023912172646500585</x:v>
      </x:c>
      <x:c r="N11" s="58" t="n">
        <x:f>MIN(E12/E11-1,0)</x:f>
        <x:v>0</x:v>
      </x:c>
    </x:row>
    <x:row r="12" ht="48" customHeight="1">
      <x:c r="A12" s="55"/>
      <x:c r="B12" s="56"/>
      <x:c r="C12" s="1"/>
      <x:c r="D12" s="14" t="str">
        <x:v>10-20</x:v>
      </x:c>
      <x:c r="E12" s="57" t="n">
        <x:v>1.334262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10-21</x:v>
      </x:c>
      <x:c r="M12" s="58" t="n">
        <x:f>MAX(E13/E12-1,0)</x:f>
        <x:v>0.023080924136339</x:v>
      </x:c>
      <x:c r="N12" s="58" t="n">
        <x:f>MIN(E13/E12-1,0)</x:f>
        <x:v>0</x:v>
      </x:c>
    </x:row>
    <x:row r="13" ht="28" customHeight="1">
      <x:c r="A13" s="55"/>
      <x:c r="B13" s="56"/>
      <x:c r="C13" s="1"/>
      <x:c r="D13" s="14" t="str">
        <x:v>10-21</x:v>
      </x:c>
      <x:c r="E13" s="57" t="n">
        <x:v>1.365058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10-22</x:v>
      </x:c>
      <x:c r="M13" s="58" t="n">
        <x:f>MAX(E14/E13-1,0)</x:f>
        <x:v>0</x:v>
      </x:c>
      <x:c r="N13" s="58" t="n">
        <x:f>MIN(E14/E13-1,0)</x:f>
        <x:v>-0.04180994507193114</x:v>
      </x:c>
    </x:row>
    <x:row r="14" ht="28" customHeight="1">
      <x:c r="A14" s="55"/>
      <x:c r="B14" s="56"/>
      <x:c r="C14" s="1"/>
      <x:c r="D14" s="14" t="str">
        <x:v>10-22</x:v>
      </x:c>
      <x:c r="E14" s="57" t="n">
        <x:v>1.307985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10-23</x:v>
      </x:c>
      <x:c r="M14" s="58" t="n">
        <x:f>MAX(E15/E14-1,0)</x:f>
        <x:v>0</x:v>
      </x:c>
      <x:c r="N14" s="58" t="n">
        <x:f>MIN(E15/E14-1,0)</x:f>
        <x:v>-0.010839573848324013</x:v>
      </x:c>
    </x:row>
    <x:row r="15" ht="48" customHeight="1">
      <x:c r="A15" s="55"/>
      <x:c r="B15" s="56"/>
      <x:c r="C15" s="1"/>
      <x:c r="D15" s="14" t="str">
        <x:v>10-23</x:v>
      </x:c>
      <x:c r="E15" s="57" t="n">
        <x:v>1.293807</x:v>
      </x:c>
      <x:c r="F15" s="1"/>
      <x:c r="G15" s="1" t="str">
        <x:v>行情时间口径</x:v>
      </x:c>
      <x:c r="H15" s="36" t="str">
        <x:v>行情提供方更新时间 2026-10-26T02:00:41.000Z</x:v>
      </x:c>
      <x:c r="I15" s="1"/>
      <x:c r="J15" s="1"/>
      <x:c r="K15" s="1"/>
      <x:c r="L15" s="1" t="str">
        <x:f>D16</x:f>
        <x:v>10-24</x:v>
      </x:c>
      <x:c r="M15" s="58" t="n">
        <x:f>MAX(E16/E15-1,0)</x:f>
        <x:v>0.0034680597647098743</x:v>
      </x:c>
      <x:c r="N15" s="58" t="n">
        <x:f>MIN(E16/E15-1,0)</x:f>
        <x:v>0</x:v>
      </x:c>
    </x:row>
    <x:row r="16" ht="28" customHeight="1">
      <x:c r="A16" s="55"/>
      <x:c r="B16" s="56"/>
      <x:c r="C16" s="1"/>
      <x:c r="D16" s="14" t="str">
        <x:v>10-24</x:v>
      </x:c>
      <x:c r="E16" s="57" t="n">
        <x:v>1.298294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10-25</x:v>
      </x:c>
      <x:c r="M16" s="58" t="n">
        <x:f>MAX(E17/E16-1,0)</x:f>
        <x:v>0</x:v>
      </x:c>
      <x:c r="N16" s="58" t="n">
        <x:f>MIN(E17/E16-1,0)</x:f>
        <x:v>-0.003009333787262425</x:v>
      </x:c>
    </x:row>
    <x:row r="17" ht="28" customHeight="1">
      <x:c r="A17" s="55"/>
      <x:c r="B17" s="56"/>
      <x:c r="C17" s="1"/>
      <x:c r="D17" s="14" t="str">
        <x:v>10-25</x:v>
      </x:c>
      <x:c r="E17" s="57" t="n">
        <x:v>1.294387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GXRP 持仓未核实：发行商访问失败：HTTPError；转录源存在冻结记录，未独立核实持仓日期；最后有效日期未知。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403；尚未解析到独立美元申赎数据；最后有效日期未知。XRP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